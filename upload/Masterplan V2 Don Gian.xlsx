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ết Lý &amp; Tổng Quan" sheetId="1" state="visible" r:id="rId3"/>
    <sheet name="4 Không Thương Lượng" sheetId="2" state="visible" r:id="rId4"/>
    <sheet name="Lịch Tập Đơn Giản" sheetId="3" state="visible" r:id="rId5"/>
    <sheet name="Chỉ Số Sức Khỏe" sheetId="4" state="visible" r:id="rId6"/>
    <sheet name="Ăn Uống Đơn Giản" sheetId="5" state="visible" r:id="rId7"/>
    <sheet name="Bổ Sung Theo Data" sheetId="6" state="visible" r:id="rId8"/>
    <sheet name="Nhật Ký Tháng" sheetId="7" state="visible" r:id="rId9"/>
    <sheet name="Phục Hồi &amp; Giấc Ngủ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<sst xmlns="http://schemas.openxmlformats.org/spreadsheetml/2006/main" count="551" uniqueCount="501">
  <si>
    <t xml:space="preserve">HÀNH TRÌNH 30 NĂM — ĐƠN GIẢN. BỀN BỈ. LÀ CHÍNH MÌNH.</t>
  </si>
  <si>
    <t xml:space="preserve">🧭 TRIẾT LÝ CỐT LÕI</t>
  </si>
  <si>
    <t xml:space="preserve">Nguyên tắc #1</t>
  </si>
  <si>
    <t xml:space="preserve">BỀN BỈ THẮNG HOÀN HẢO</t>
  </si>
  <si>
    <t xml:space="preserve">Tập 4 buổi/tuần trong 10 năm &gt; Tập 7 buổi/tuần rồi bỏ sau 3 tháng</t>
  </si>
  <si>
    <t xml:space="preserve">Nguyên tắc #2</t>
  </si>
  <si>
    <t xml:space="preserve">ĐƠN GIẢN ĐỂ ĐI ĐƯỜNG DÀI</t>
  </si>
  <si>
    <t xml:space="preserve">Chỉ cần nhớ 4 thứ mỗi ngày, không phải 20. Phức tạp = bỏ cuộc</t>
  </si>
  <si>
    <t xml:space="preserve">Nguyên tắc #3</t>
  </si>
  <si>
    <t xml:space="preserve">DỮ LIỆU TRƯỚC, BỔ SUNG SAU</t>
  </si>
  <si>
    <t xml:space="preserve">Xét nghiệm → biết mình thiếu gì → bổ sung đúng thứ. Không đoán mò</t>
  </si>
  <si>
    <t xml:space="preserve">Nguyên tắc #4</t>
  </si>
  <si>
    <t xml:space="preserve">CHO PHÉP MÌNH 'CHỆCH HƯỚNG'</t>
  </si>
  <si>
    <t xml:space="preserve">Tuần tệ ≠ Thất bại. Chỉ cần quay lại. Không guilt-trip bản thân</t>
  </si>
  <si>
    <t xml:space="preserve">Nguyên tắc #5</t>
  </si>
  <si>
    <t xml:space="preserve">THÊM DẦN, KHÔNG LÀM TẤT CẢ</t>
  </si>
  <si>
    <t xml:space="preserve">Layer 1 thành thói quen (6 tháng) → Layer 2 (tháng 7-18) → Layer 3 (sau 18 tháng)</t>
  </si>
  <si>
    <t xml:space="preserve">📊 HỆ THỐNG 3 LAYER — THÊM DẦN THEO THỜI GIAN</t>
  </si>
  <si>
    <t xml:space="preserve">Layer</t>
  </si>
  <si>
    <t xml:space="preserve">Thời Gian</t>
  </si>
  <si>
    <t xml:space="preserve">Tên Gọi</t>
  </si>
  <si>
    <t xml:space="preserve">4 Thứ Cần Làm</t>
  </si>
  <si>
    <t xml:space="preserve">Không Cần Lo</t>
  </si>
  <si>
    <t xml:space="preserve">Khi Nào Lên Layer Tiếp?</t>
  </si>
  <si>
    <t xml:space="preserve">Mục Tiêu Duy Nhất</t>
  </si>
  <si>
    <t xml:space="preserve">Tâm Thế</t>
  </si>
  <si>
    <t xml:space="preserve">LAYER 1
🌱 Nền Móng</t>
  </si>
  <si>
    <t xml:space="preserve">6 tháng đầu
(Tháng 1-6)</t>
  </si>
  <si>
    <t xml:space="preserve">"Chỉ 4 Thứ"</t>
  </si>
  <si>
    <t xml:space="preserve">1. Tập 3-4 buổi/tuần
2. Ngủ 7-8h đúng giờ
3. Ăn đủ protein + rau
4. Đi bộ mỗi ngày</t>
  </si>
  <si>
    <t xml:space="preserve">Sauna, Cold Plunge, Supplements nâng cao, VO2 Max intervals, Tracking biomarkers chi tiết</t>
  </si>
  <si>
    <t xml:space="preserve">Khi 4 thứ trên thành TỰ ĐỘNG
(không cần nghĩ, cứ làm)
→ Thường mất 4-6 tháng</t>
  </si>
  <si>
    <t xml:space="preserve">Biến vận động thành
nếp sống, không phải
"chương trình tập"</t>
  </si>
  <si>
    <t xml:space="preserve">Kiên nhẫn.
Đừng so sánh.
Đừng vội.</t>
  </si>
  <si>
    <t xml:space="preserve">LAYER 2
🌿 Mở Rộng</t>
  </si>
  <si>
    <t xml:space="preserve">Tháng 7-18</t>
  </si>
  <si>
    <t xml:space="preserve">"Thêm Gia Vị"</t>
  </si>
  <si>
    <t xml:space="preserve">1. VO2 Max 4×4 (1x/tuần)
2. Sauna 2-3x/tuần
3. XN biomarker đầu tiên
4. Bổ sung theo data XN</t>
  </si>
  <si>
    <t xml:space="preserve">Cold Plunge, NMN/Resveratrol, Tracking phức tạp, Tối ưu hóa chi tiết</t>
  </si>
  <si>
    <t xml:space="preserve">Khi VO2 Max &amp; Sauna thành
thói quen + có data XN
để biết mình đang ở đâu</t>
  </si>
  <si>
    <t xml:space="preserve">Xây "kho dự trữ"
sinh học: cơ, xương,
tim mạch</t>
  </si>
  <si>
    <t xml:space="preserve">Tò mò.
Thử nghiệm.
Lắng nghe cơ thể.</t>
  </si>
  <si>
    <t xml:space="preserve">LAYER 3
🌳 Tối Ưu</t>
  </si>
  <si>
    <t xml:space="preserve">Sau 18 tháng</t>
  </si>
  <si>
    <t xml:space="preserve">"Fine-tune"</t>
  </si>
  <si>
    <t xml:space="preserve">1. Cold Plunge
2. NSDR/Yoga Nidra
3. Dual-tasking cho não
4. Geroprotectors (nếu muốn)</t>
  </si>
  <si>
    <t xml:space="preserve">Không còn gì phải lo.
Tất cả đều là BONUS
ở giai đoạn này.</t>
  </si>
  <si>
    <t xml:space="preserve">Không có deadline.
Đây là lối sống,
không phải dự án.</t>
  </si>
  <si>
    <t xml:space="preserve">Tối ưu hóa dựa
trên dữ liệu thực
của chính bạn</t>
  </si>
  <si>
    <t xml:space="preserve">Tự tin.
Đây là con
người mình rồi.</t>
  </si>
  <si>
    <t xml:space="preserve">🗺️ 3 GIAI ĐOẠN 30 NĂM (Tổng quan)</t>
  </si>
  <si>
    <t xml:space="preserve">Giai Đoạn</t>
  </si>
  <si>
    <t xml:space="preserve">Tuổi</t>
  </si>
  <si>
    <t xml:space="preserve">Năm</t>
  </si>
  <si>
    <t xml:space="preserve">Một Câu Tóm Tắt</t>
  </si>
  <si>
    <t xml:space="preserve">Ưu Tiên #1</t>
  </si>
  <si>
    <t xml:space="preserve">Ưu Tiên #2</t>
  </si>
  <si>
    <t xml:space="preserve">KPI Đơn Giản Nhất</t>
  </si>
  <si>
    <t xml:space="preserve">Minimum Viable Week</t>
  </si>
  <si>
    <t xml:space="preserve">🔧 Tái Thiết</t>
  </si>
  <si>
    <t xml:space="preserve">36-38</t>
  </si>
  <si>
    <t xml:space="preserve">2026-2028</t>
  </si>
  <si>
    <t xml:space="preserve">"Sửa nhà trước khi xây thêm tầng"</t>
  </si>
  <si>
    <t xml:space="preserve">Học kỹ thuật đúng
7 chuyển động gốc</t>
  </si>
  <si>
    <t xml:space="preserve">Loại bỏ mỡ nội tạng
(Fasting Insulin &lt; 5)</t>
  </si>
  <si>
    <t xml:space="preserve">Squat sâu không đau
+ Fasting Insulin &lt; 5</t>
  </si>
  <si>
    <t xml:space="preserve">3 buổi tập (Strength 2 + Walk 1)
+ Ngủ đủ 7h</t>
  </si>
  <si>
    <t xml:space="preserve">📈 Tích Lũy</t>
  </si>
  <si>
    <t xml:space="preserve">38-46</t>
  </si>
  <si>
    <t xml:space="preserve">2028-2036</t>
  </si>
  <si>
    <t xml:space="preserve">"Cửa sổ vàng cuối cùng xây cơ &amp; xương"</t>
  </si>
  <si>
    <t xml:space="preserve">Tăng khối cơ nạc
tối đa (Hypertrophy)</t>
  </si>
  <si>
    <t xml:space="preserve">VO2 Max lên Top 25%
so với tuổi</t>
  </si>
  <si>
    <t xml:space="preserve">Grip &gt; 50kg
+ VO2 Max Top 25%</t>
  </si>
  <si>
    <t xml:space="preserve">4 buổi (Strength 3 + VO2 Max 1)
+ Ngủ đủ + Protein</t>
  </si>
  <si>
    <t xml:space="preserve">🛡️ Bảo Tồn</t>
  </si>
  <si>
    <t xml:space="preserve">46-66</t>
  </si>
  <si>
    <t xml:space="preserve">2036-2056</t>
  </si>
  <si>
    <t xml:space="preserve">"Giữ vững, không để tuột"</t>
  </si>
  <si>
    <t xml:space="preserve">Duy trì Power
(sợi cơ co giật nhanh)</t>
  </si>
  <si>
    <t xml:space="preserve">Bảo vệ não bộ
(Neuroplasticity)</t>
  </si>
  <si>
    <t xml:space="preserve">Grip &gt; 45kg
+ Tự đứng lên từ sàn</t>
  </si>
  <si>
    <t xml:space="preserve">3 buổi (Power 2 + Walk/Swim 1)
+ Ngủ đủ + Protein</t>
  </si>
  <si>
    <t xml:space="preserve">🔒 4 THÓI QUEN KHÔNG THƯƠNG LƯỢNG — Nền Móng Của Mọi Thứ</t>
  </si>
  <si>
    <t xml:space="preserve">Nếu chỉ được làm 4 thứ trong 30 năm tới, đây là 4 thứ đó</t>
  </si>
  <si>
    <t xml:space="preserve">Thói Quen</t>
  </si>
  <si>
    <t xml:space="preserve">Icon</t>
  </si>
  <si>
    <t xml:space="preserve">Liều Lượng</t>
  </si>
  <si>
    <t xml:space="preserve">Cách Làm</t>
  </si>
  <si>
    <t xml:space="preserve">Khi Cuộc Sống Xáo Trộn (Fail-safe)</t>
  </si>
  <si>
    <t xml:space="preserve">Tại Sao Quan Trọng</t>
  </si>
  <si>
    <t xml:space="preserve">Bản Sắc (Identity)</t>
  </si>
  <si>
    <t xml:space="preserve">1. TẬP ĐỀU ĐẶN</t>
  </si>
  <si>
    <t xml:space="preserve">💪</t>
  </si>
  <si>
    <t xml:space="preserve">3-4 buổi/tuần</t>
  </si>
  <si>
    <t xml:space="preserve">Strength 2-3x + Zone 2 1-2x</t>
  </si>
  <si>
    <t xml:space="preserve">Ngày bận: 20 phút bodyweight ở nhà cũng được
Đi công tác: Push-up + Squat + Lunge trong phòng khách sạn
Ôm/Mệt: Đi bộ 30 phút thay thế
→ Bỏ 1 tuần OK. Bỏ 2 tuần liên tiếp = Quay lại ngay.</t>
  </si>
  <si>
    <t xml:space="preserve">Chống Sarcopenia (mất cơ)
Giữ xương chắc
Điều hòa Insulin
Bảo vệ não bộ</t>
  </si>
  <si>
    <t xml:space="preserve">"Tôi là người tập luyện.
Có ngày tốt, có ngày tệ,
nhưng tôi luôn quay lại."</t>
  </si>
  <si>
    <t xml:space="preserve">2. NGỦ ĐỦ &amp; ĐÚNG GIỜ</t>
  </si>
  <si>
    <t xml:space="preserve">💤</t>
  </si>
  <si>
    <t xml:space="preserve">7-8 tiếng/đêm
Cố định giờ ngủ/thức</t>
  </si>
  <si>
    <t xml:space="preserve">Phòng mát (18-21°C)
Tối hoàn toàn
Không màn hình 1h trước</t>
  </si>
  <si>
    <t xml:space="preserve">Cuối tuần muộn: Không lệch &gt; 1 tiếng so với ngày thường
Khó ngủ: Thở 4-7-8 (hít 4s, giữ 7s, thở 8s)
Thức giấc 3AM: Ghi nhận, không lo lắng, nằm yên
→ Ngủ kém 1 đêm ≠ Vấn đề. Kém 5 đêm liên tục = Cần xem lại.</t>
  </si>
  <si>
    <t xml:space="preserve">HGH tiết khi ngủ sâu
Glymphatic thải độc não
Phục hồi cơ bắp
Điều hòa Cortisol</t>
  </si>
  <si>
    <t xml:space="preserve">"Giấc ngủ là loại thuốc
mạnh nhất mà tôi có.
Tôi bảo vệ nó."</t>
  </si>
  <si>
    <t xml:space="preserve">3. ĂN ĐỦ PROTEIN + RAU</t>
  </si>
  <si>
    <t xml:space="preserve">🥩🥬</t>
  </si>
  <si>
    <t xml:space="preserve">Protein: 1.6g/kg/ngày
Rau: ≥ 3 phần/ngày</t>
  </si>
  <si>
    <t xml:space="preserve">70kg = ~112g protein/ngày
≈ 35-40g/bữa × 3 bữa
Ức gà, cá, trứng, đậu phụ, hến</t>
  </si>
  <si>
    <t xml:space="preserve">Ăn ngoài: Chọn món có thịt/cá + rau, bỏ qua tinh bột thừa
Bận nấu: 3 trứng luộc + rau luộc = 5 phút, đủ 1 bữa
Không thèm ăn: Ít nhất uống sữa đậu nành + 2 trứng
→ Bữa ăn không hoàn hảo vẫn tốt hơn bỏ bữa.</t>
  </si>
  <si>
    <t xml:space="preserve">Chống mất cơ tuổi 36+
No lâu, giảm thèm vặt
Rau = Xơ + Vi chất + Prebiotics
Ổn định đường huyết</t>
  </si>
  <si>
    <t xml:space="preserve">"Tôi ăn đơn giản,
quen thuộc, đủ chất.
Không cần fancy."</t>
  </si>
  <si>
    <t xml:space="preserve">4. ĐI BỘ MỖI NGÀY</t>
  </si>
  <si>
    <t xml:space="preserve">🚶</t>
  </si>
  <si>
    <t xml:space="preserve">8.000+ bước/ngày
hoặc 30-45 phút</t>
  </si>
  <si>
    <t xml:space="preserve">Sáng sớm = phơi nắng + reset nhịp sinh học
Sau ăn tối = hạ đường huyết</t>
  </si>
  <si>
    <t xml:space="preserve">Mưa: Đi bộ trong nhà/trung tâm thương mại
Bận: Đi bộ 10 phút sau mỗi bữa ăn (× 3 = 30 phút)
Lười: Nghe podcast/gọi điện trong khi đi bộ
→ Đi bộ là hoạt động không bao giờ được phép bỏ.</t>
  </si>
  <si>
    <t xml:space="preserve">Zone 2 nhẹ nhàng nhất
Giảm Cortisol
Cải thiện tiêu hóa
Sáng tạo &amp; suy nghĩ</t>
  </si>
  <si>
    <t xml:space="preserve">"Đi bộ là thiền động.
Là lúc tôi về với
chính mình."</t>
  </si>
  <si>
    <t xml:space="preserve">📋 MINIMUM VIABLE WEEK — Tuần tệ nhất vẫn OK</t>
  </si>
  <si>
    <t xml:space="preserve">Kịch Bản</t>
  </si>
  <si>
    <t xml:space="preserve">Tập Luyện</t>
  </si>
  <si>
    <t xml:space="preserve">Ăn Uống</t>
  </si>
  <si>
    <t xml:space="preserve">Ngủ</t>
  </si>
  <si>
    <t xml:space="preserve">Đi Bộ</t>
  </si>
  <si>
    <t xml:space="preserve">Đủ Chưa?</t>
  </si>
  <si>
    <t xml:space="preserve">Thời Gian Cần</t>
  </si>
  <si>
    <t xml:space="preserve">Tuần LÝ TƯỞNG</t>
  </si>
  <si>
    <t xml:space="preserve">Strength 3x
Zone 2 2x
VO2 Max 1x</t>
  </si>
  <si>
    <t xml:space="preserve">Eat Clean VN
Protein đủ
Carb Backloading</t>
  </si>
  <si>
    <t xml:space="preserve">7-8h/đêm
Đúng giờ
18-21°C</t>
  </si>
  <si>
    <t xml:space="preserve">8-10K bước
Mỗi ngày</t>
  </si>
  <si>
    <t xml:space="preserve">✅ Tuyệt vời</t>
  </si>
  <si>
    <t xml:space="preserve">~7-8h/tuần</t>
  </si>
  <si>
    <t xml:space="preserve">Tuần BẬN VỪA</t>
  </si>
  <si>
    <t xml:space="preserve">Strength 2x
Đi bộ nhanh 2x</t>
  </si>
  <si>
    <t xml:space="preserve">Protein đủ
Rau đủ
Carb linh hoạt</t>
  </si>
  <si>
    <t xml:space="preserve">7h/đêm
Đúng giờ</t>
  </si>
  <si>
    <t xml:space="preserve">6-8K bước</t>
  </si>
  <si>
    <t xml:space="preserve">✅ Rất tốt</t>
  </si>
  <si>
    <t xml:space="preserve">~4-5h/tuần</t>
  </si>
  <si>
    <t xml:space="preserve">Tuần CỰC BẬN</t>
  </si>
  <si>
    <t xml:space="preserve">Bodyweight 20p × 2
(Push-up, Squat, Lunge)</t>
  </si>
  <si>
    <t xml:space="preserve">Trứng + Rau luộc
mỗi bữa</t>
  </si>
  <si>
    <t xml:space="preserve">6-7h
Cố giữ giờ</t>
  </si>
  <si>
    <t xml:space="preserve">5K bước
(đi bộ sau ăn)</t>
  </si>
  <si>
    <t xml:space="preserve">⚠️ Đủ duy trì</t>
  </si>
  <si>
    <t xml:space="preserve">~2h/tuần</t>
  </si>
  <si>
    <t xml:space="preserve">Tuần ĐI CÔNG TÁC</t>
  </si>
  <si>
    <t xml:space="preserve">Push-up + Squat
trong phòng KS
15p × 3 ngày</t>
  </si>
  <si>
    <t xml:space="preserve">Chọn protein + rau
ở nhà hàng
Tránh đồ chiên</t>
  </si>
  <si>
    <t xml:space="preserve">Cố giữ 7h
Ngủ sớm bù jet lag</t>
  </si>
  <si>
    <t xml:space="preserve">Đi bộ khám phá
thành phố</t>
  </si>
  <si>
    <t xml:space="preserve">~1.5h/tuần</t>
  </si>
  <si>
    <t xml:space="preserve">Tuần ỐM / MỆT</t>
  </si>
  <si>
    <t xml:space="preserve">KHÔNG TẬP NẶNG
Đi bộ nhẹ nếu được</t>
  </si>
  <si>
    <t xml:space="preserve">Cháo + Trứng + Rau
Nước đủ
Nghỉ ngơi</t>
  </si>
  <si>
    <t xml:space="preserve">Ngủ nhiều nhất
có thể</t>
  </si>
  <si>
    <t xml:space="preserve">Nhẹ nhàng
nếu được</t>
  </si>
  <si>
    <t xml:space="preserve">✅ Phục hồi là #1</t>
  </si>
  <si>
    <t xml:space="preserve">~30p/tuần</t>
  </si>
  <si>
    <t xml:space="preserve">🏋️ LỊCH TẬP ĐƠN GIẢN — Hiệu Quả Mà Không Quá Tải</t>
  </si>
  <si>
    <t xml:space="preserve">Layer 1: Tuần cơ bản (6 tháng đầu)</t>
  </si>
  <si>
    <t xml:space="preserve">Thứ</t>
  </si>
  <si>
    <t xml:space="preserve">Loại</t>
  </si>
  <si>
    <t xml:space="preserve">Nội Dung Chính</t>
  </si>
  <si>
    <t xml:space="preserve">Cường Độ</t>
  </si>
  <si>
    <t xml:space="preserve">Fail-safe (Bận quá)</t>
  </si>
  <si>
    <t xml:space="preserve">Trước Tập</t>
  </si>
  <si>
    <t xml:space="preserve">✅</t>
  </si>
  <si>
    <t xml:space="preserve">T2</t>
  </si>
  <si>
    <t xml:space="preserve">💪 Strength A</t>
  </si>
  <si>
    <t xml:space="preserve">Squat + Push-up + Row
(Mỗi bài 3 set × 8-12 rep)</t>
  </si>
  <si>
    <t xml:space="preserve">45-60p</t>
  </si>
  <si>
    <t xml:space="preserve">RPE 7/10
(còn 3 rep dự)</t>
  </si>
  <si>
    <t xml:space="preserve">20p: Squat + Push-up
ở nhà, 2 set mỗi bài</t>
  </si>
  <si>
    <t xml:space="preserve">Collagen + VitC
(60p trước, nếu có)</t>
  </si>
  <si>
    <t xml:space="preserve">T3</t>
  </si>
  <si>
    <t xml:space="preserve">🚶 Đi bộ</t>
  </si>
  <si>
    <t xml:space="preserve">Đi bộ nhanh hoặc đạp xe
Zone 2 (nói chuyện được)</t>
  </si>
  <si>
    <t xml:space="preserve">30-45p</t>
  </si>
  <si>
    <t xml:space="preserve">Nhẹ nhàng
Thưởng thức</t>
  </si>
  <si>
    <t xml:space="preserve">Đi bộ 15p sau ăn trưa
+ 15p sau ăn tối</t>
  </si>
  <si>
    <t xml:space="preserve">Không cần</t>
  </si>
  <si>
    <t xml:space="preserve">T4</t>
  </si>
  <si>
    <t xml:space="preserve">💪 Strength B</t>
  </si>
  <si>
    <t xml:space="preserve">Hinge + Pull-up + Lunge
(Mỗi bài 3 set × 8-12 rep)</t>
  </si>
  <si>
    <t xml:space="preserve">RPE 7/10</t>
  </si>
  <si>
    <t xml:space="preserve">20p: Glute Bridge
+ Pull-up + Lunge ở nhà</t>
  </si>
  <si>
    <t xml:space="preserve">T5</t>
  </si>
  <si>
    <t xml:space="preserve">Đi bộ + Mobility nhẹ
(Giãn cơ hông, vai 10p)</t>
  </si>
  <si>
    <t xml:space="preserve">Nhẹ nhàng</t>
  </si>
  <si>
    <t xml:space="preserve">Đi bộ 20p bất kỳ lúc nào</t>
  </si>
  <si>
    <t xml:space="preserve">T6</t>
  </si>
  <si>
    <t xml:space="preserve">💪 Strength C</t>
  </si>
  <si>
    <t xml:space="preserve">Full body nhẹ hoặc
lặp lại A/B (tuần luân phiên)</t>
  </si>
  <si>
    <t xml:space="preserve">BỎ QUA cũng OK
(2 buổi strength/tuần đủ)</t>
  </si>
  <si>
    <t xml:space="preserve">Collagen + VitC
(nếu có)</t>
  </si>
  <si>
    <t xml:space="preserve">T7</t>
  </si>
  <si>
    <t xml:space="preserve">🌿 Tự do</t>
  </si>
  <si>
    <t xml:space="preserve">Đi bộ dài, đạp xe, bơi
Chơi thể thao, leo núi
Làm vườn, dọn nhà</t>
  </si>
  <si>
    <t xml:space="preserve">Tự do</t>
  </si>
  <si>
    <t xml:space="preserve">Vui vẻ
Không áp lực</t>
  </si>
  <si>
    <t xml:space="preserve">Nghỉ hoàn toàn
cũng tốt</t>
  </si>
  <si>
    <t xml:space="preserve">CN</t>
  </si>
  <si>
    <t xml:space="preserve">🧘 Phục hồi</t>
  </si>
  <si>
    <t xml:space="preserve">Nghỉ ngơi hoàn toàn
Giãn cơ nhẹ nếu muốn
Meal prep cho tuần mới</t>
  </si>
  <si>
    <t xml:space="preserve">0 áp lực</t>
  </si>
  <si>
    <t xml:space="preserve">Đúng rồi,
không làm gì = đúng</t>
  </si>
  <si>
    <t xml:space="preserve">Chuẩn bị tuần mới
(nếu muốn)</t>
  </si>
  <si>
    <t xml:space="preserve">Layer 2: Thêm vào khi Layer 1 đã thành thói quen (sau ~6 tháng)</t>
  </si>
  <si>
    <t xml:space="preserve">Thêm VO2 Max 1x/tuần</t>
  </si>
  <si>
    <t xml:space="preserve">Thay buổi T7 'Tự do' bằng Norwegian 4×4:
4 phút chạy max (90-95% HR) + 3 phút nghỉ × 4 rounds
Tổng ~30 phút. Khởi động kỹ 10 phút trước.</t>
  </si>
  <si>
    <t xml:space="preserve">Khi bạn đã tập đều 3-4 buổi/tuần được 6 tháng
và cảm thấy 'muốn thử thách hơn'</t>
  </si>
  <si>
    <t xml:space="preserve">Thêm Sauna 2-3x/tuần</t>
  </si>
  <si>
    <t xml:space="preserve">15-20 phút/phiên, 80-100°C
Sau buổi tập strength là lý tưởng
Bù nước đầy đủ</t>
  </si>
  <si>
    <t xml:space="preserve">Khi bạn có điều kiện tiếp cận sauna
(phòng gym, spa)</t>
  </si>
  <si>
    <t xml:space="preserve">XN Biomarker lần đầu</t>
  </si>
  <si>
    <t xml:space="preserve">Bộ xét nghiệm: ApoB, Fasting Insulin, HbA1c,
hs-CRP, Homocysteine, Free T, Lipid panel
+ Lp(a) (1 lần duy nhất)</t>
  </si>
  <si>
    <t xml:space="preserve">Tháng thứ 6-8. Đây là 'tọa độ GPS' đầu tiên
để biết bạn đang ở đâu.</t>
  </si>
  <si>
    <t xml:space="preserve">Bổ sung theo data XN</t>
  </si>
  <si>
    <t xml:space="preserve">CHỈ bổ sung những thứ XN cho thấy bạn THIẾU.
Không đoán mò. Không uống phòng.</t>
  </si>
  <si>
    <t xml:space="preserve">Sau khi có kết quả XN.
Bàn với bác sĩ nếu có chỉ số bất thường.</t>
  </si>
  <si>
    <t xml:space="preserve">🔬 CHỈ SỐ SỨC KHỎE — Chỉ Theo Dõi Những Gì Quan Trọng</t>
  </si>
  <si>
    <t xml:space="preserve">🎯 7 CHỈ SỐ CỐT LÕI (Đủ rồi, không cần nhiều hơn)</t>
  </si>
  <si>
    <t xml:space="preserve">#</t>
  </si>
  <si>
    <t xml:space="preserve">Chỉ Số</t>
  </si>
  <si>
    <t xml:space="preserve">Vì Sao Quan Trọng
(1 câu)</t>
  </si>
  <si>
    <t xml:space="preserve">Mức Tốt ✅</t>
  </si>
  <si>
    <t xml:space="preserve">Mức Cảnh Báo ⚠️</t>
  </si>
  <si>
    <t xml:space="preserve">XN Mỗi</t>
  </si>
  <si>
    <t xml:space="preserve">Giá Trị
Lần 1</t>
  </si>
  <si>
    <t xml:space="preserve">Giá Trị
Lần 2</t>
  </si>
  <si>
    <t xml:space="preserve">Xu Hướng</t>
  </si>
  <si>
    <t xml:space="preserve">1</t>
  </si>
  <si>
    <t xml:space="preserve">ApoB</t>
  </si>
  <si>
    <t xml:space="preserve">Đếm số 'viên đạn' gây xơ vữa động mạch</t>
  </si>
  <si>
    <t xml:space="preserve">&lt; 60 mg/dL</t>
  </si>
  <si>
    <t xml:space="preserve">&gt; 80 mg/dL</t>
  </si>
  <si>
    <t xml:space="preserve">6 tháng</t>
  </si>
  <si>
    <t xml:space="preserve">2</t>
  </si>
  <si>
    <t xml:space="preserve">Fasting Insulin</t>
  </si>
  <si>
    <t xml:space="preserve">Phát hiện kháng insulin 10 NĂM trước tiểu đường</t>
  </si>
  <si>
    <t xml:space="preserve">2-5 µIU/mL</t>
  </si>
  <si>
    <t xml:space="preserve">&gt; 8 µIU/mL</t>
  </si>
  <si>
    <t xml:space="preserve">3</t>
  </si>
  <si>
    <t xml:space="preserve">HbA1c</t>
  </si>
  <si>
    <t xml:space="preserve">Đường huyết trung bình 3 tháng qua</t>
  </si>
  <si>
    <t xml:space="preserve">4.8-5.3%</t>
  </si>
  <si>
    <t xml:space="preserve">&gt; 5.4%</t>
  </si>
  <si>
    <t xml:space="preserve">4</t>
  </si>
  <si>
    <t xml:space="preserve">hs-CRP</t>
  </si>
  <si>
    <t xml:space="preserve">Mức viêm âm ỉ trong cơ thể</t>
  </si>
  <si>
    <t xml:space="preserve">&lt; 0.5 mg/L</t>
  </si>
  <si>
    <t xml:space="preserve">&gt; 1.0 mg/L</t>
  </si>
  <si>
    <t xml:space="preserve">5</t>
  </si>
  <si>
    <t xml:space="preserve">VO2 Max</t>
  </si>
  <si>
    <t xml:space="preserve">Chỉ số #1 dự báo tuổi thọ (Peter Attia)</t>
  </si>
  <si>
    <t xml:space="preserve">Top 25% tuổi</t>
  </si>
  <si>
    <t xml:space="preserve">Phân vị thấp</t>
  </si>
  <si>
    <t xml:space="preserve">6</t>
  </si>
  <si>
    <t xml:space="preserve">Grip Strength</t>
  </si>
  <si>
    <t xml:space="preserve">Tương quan mạnh nhất với tử vong mọi nguyên nhân</t>
  </si>
  <si>
    <t xml:space="preserve">&gt; 50 kg</t>
  </si>
  <si>
    <t xml:space="preserve">&lt; 35 kg</t>
  </si>
  <si>
    <t xml:space="preserve">3 tháng</t>
  </si>
  <si>
    <t xml:space="preserve">7</t>
  </si>
  <si>
    <t xml:space="preserve">Cân nặng / % Mỡ</t>
  </si>
  <si>
    <t xml:space="preserve">Theo dõi xu hướng, không obsess con số</t>
  </si>
  <si>
    <t xml:space="preserve">Ổn định / Giảm dần</t>
  </si>
  <si>
    <t xml:space="preserve">Tăng nhanh</t>
  </si>
  <si>
    <t xml:space="preserve">Hàng tháng</t>
  </si>
  <si>
    <t xml:space="preserve">📋 XÉT NGHIỆM 1 LẦN DUY NHẤT (Không cần lặp lại)</t>
  </si>
  <si>
    <t xml:space="preserve">Lp(a)</t>
  </si>
  <si>
    <t xml:space="preserve">Di truyền 90%. Nếu cao → kiểm soát ApoB chặt hơn</t>
  </si>
  <si>
    <t xml:space="preserve">&lt; 75 nmol/L</t>
  </si>
  <si>
    <t xml:space="preserve">Giá trị:</t>
  </si>
  <si>
    <t xml:space="preserve">Xét nghiệm gen (nếu muốn)</t>
  </si>
  <si>
    <t xml:space="preserve">Biết nguy cơ di truyền để phòng ngừa sớm</t>
  </si>
  <si>
    <t xml:space="preserve">Tham khảo BS</t>
  </si>
  <si>
    <t xml:space="preserve">Đã làm?</t>
  </si>
  <si>
    <t xml:space="preserve">📊 THEO DÕI QUA TỪNG NĂM (Đơn giản — chỉ 7 con số)</t>
  </si>
  <si>
    <t xml:space="preserve">Fasting
Insulin</t>
  </si>
  <si>
    <t xml:space="preserve">Grip (kg)</t>
  </si>
  <si>
    <t xml:space="preserve">Ghi Chú</t>
  </si>
  <si>
    <t xml:space="preserve">🍽️ ĂN UỐNG ĐƠN GIẢN — 5 Quy Tắc, 10 Thực Phẩm, Xong.</t>
  </si>
  <si>
    <t xml:space="preserve">5 QUY TẮC DUY NHẤT CẦN NHỚ</t>
  </si>
  <si>
    <t xml:space="preserve">Quy Tắc</t>
  </si>
  <si>
    <t xml:space="preserve">Ghi Nhớ</t>
  </si>
  <si>
    <t xml:space="preserve">#1</t>
  </si>
  <si>
    <t xml:space="preserve">ĐỦ PROTEIN</t>
  </si>
  <si>
    <t xml:space="preserve">1.6g/kg/ngày = ~112g cho người 70kg
≈ 35-40g mỗi bữa chính
Mẹo: 1 ức gà = 30g | 3 trứng = 18g | 1 bìa đậu phụ = 12g | 100g cá = 20g</t>
  </si>
  <si>
    <t xml:space="preserve">Đây là quy tắc quan trọng nhất.
Nếu chỉ nhớ 1 thứ, nhớ thứ này.</t>
  </si>
  <si>
    <t xml:space="preserve">#2</t>
  </si>
  <si>
    <t xml:space="preserve">RAU TRƯỚC, CƠM SAU</t>
  </si>
  <si>
    <t xml:space="preserve">Ăn rau/xơ đầu tiên → protein → cuối cùng là cơm/tinh bột
Giảm đỉnh đường huyết sau ăn tới 30-40%</t>
  </si>
  <si>
    <t xml:space="preserve">Đơn giản mà hiệu quả cực kỳ.
Không cần thay đổi món, chỉ đổi thứ tự.</t>
  </si>
  <si>
    <t xml:space="preserve">#3</t>
  </si>
  <si>
    <t xml:space="preserve">GẠO LỨT / KHOAI THAY CƠM TRẮNG</t>
  </si>
  <si>
    <t xml:space="preserve">Không cần 100% — thay 50% cơm trắng bằng gạo lứt/khoai lang là đủ
Năng lượng bền hơn, no lâu hơn, ít insulin spike</t>
  </si>
  <si>
    <t xml:space="preserve">Dần dần. Không ép.
Trộn 50-50 gạo lứt + gạo trắng ban đầu.</t>
  </si>
  <si>
    <t xml:space="preserve">#4</t>
  </si>
  <si>
    <t xml:space="preserve">NGỪNG ĂN 3H TRƯỚC NGỦ</t>
  </si>
  <si>
    <t xml:space="preserve">Cho phép tiêu hóa xong → HGH tiết tốt hơn → Glymphatic thải độc não
VD: Ngủ 10:30PM → Ăn tối xong trước 7:30PM</t>
  </si>
  <si>
    <t xml:space="preserve">Quy tắc đơn giản nhất
mà nhiều người bỏ qua.</t>
  </si>
  <si>
    <t xml:space="preserve">#5</t>
  </si>
  <si>
    <t xml:space="preserve">NƯỚC ĐỦ, RƯỢU ÍT</t>
  </si>
  <si>
    <t xml:space="preserve">2-3 lít nước/ngày. Rượu bia: càng ít càng tốt.
Rượu phá giấc ngủ REM, tăng Cortisol, tăng mỡ nội tạng</t>
  </si>
  <si>
    <t xml:space="preserve">Không cần cai 100%.
Giảm dần, có ý thức.</t>
  </si>
  <si>
    <t xml:space="preserve">🥗 10 THỰC PHẨM CỐT LÕI — Giỏ đi chợ hàng tuần</t>
  </si>
  <si>
    <t xml:space="preserve">STT</t>
  </si>
  <si>
    <t xml:space="preserve">Thực Phẩm</t>
  </si>
  <si>
    <t xml:space="preserve">Sức Mạnh (1 câu)</t>
  </si>
  <si>
    <t xml:space="preserve">Cách Dùng Đơn Giản</t>
  </si>
  <si>
    <t xml:space="preserve">Giá Rẻ?</t>
  </si>
  <si>
    <t xml:space="preserve">Tần Suất</t>
  </si>
  <si>
    <t xml:space="preserve">Thay Thế Nếu Không Có</t>
  </si>
  <si>
    <t xml:space="preserve">🥚 Trứng</t>
  </si>
  <si>
    <t xml:space="preserve">Protein hoàn chỉnh + Choline cho não</t>
  </si>
  <si>
    <t xml:space="preserve">Luộc, ốp la, chiên ngải cứu</t>
  </si>
  <si>
    <t xml:space="preserve">✅ 4K/quả</t>
  </si>
  <si>
    <t xml:space="preserve">Hàng ngày</t>
  </si>
  <si>
    <t xml:space="preserve">Đậu phụ</t>
  </si>
  <si>
    <t xml:space="preserve">🐟 Cá Nục/Thu</t>
  </si>
  <si>
    <t xml:space="preserve">Omega-3 sạch, ít thủy ngân</t>
  </si>
  <si>
    <t xml:space="preserve">Kho thơm, canh chua, nướng</t>
  </si>
  <si>
    <t xml:space="preserve">✅ 20K/bữa</t>
  </si>
  <si>
    <t xml:space="preserve">3-4x/tuần</t>
  </si>
  <si>
    <t xml:space="preserve">Cá cơm, cá basa</t>
  </si>
  <si>
    <t xml:space="preserve">🧈 Đậu Phụ</t>
  </si>
  <si>
    <t xml:space="preserve">Protein thực vật + Isoflavones</t>
  </si>
  <si>
    <t xml:space="preserve">Sốt cà, luộc, chiên nhẹ</t>
  </si>
  <si>
    <t xml:space="preserve">✅ 5K/bìa</t>
  </si>
  <si>
    <t xml:space="preserve">Đậu nành, tempeh</t>
  </si>
  <si>
    <t xml:space="preserve">🥬 Rau Ngót</t>
  </si>
  <si>
    <t xml:space="preserve">Vua vi chất nhiệt đới VN</t>
  </si>
  <si>
    <t xml:space="preserve">Canh rau ngót (thả sau cùng!)</t>
  </si>
  <si>
    <t xml:space="preserve">✅ 8K/bó</t>
  </si>
  <si>
    <t xml:space="preserve">Rau dền, mồng tơi</t>
  </si>
  <si>
    <t xml:space="preserve">🍠 Khoai Lang</t>
  </si>
  <si>
    <t xml:space="preserve">Carb chậm, GI thấp, giàu xơ</t>
  </si>
  <si>
    <t xml:space="preserve">Luộc/hấp ăn sáng</t>
  </si>
  <si>
    <t xml:space="preserve">✅ 15K/kg</t>
  </si>
  <si>
    <t xml:space="preserve">Gạo lứt, ngô</t>
  </si>
  <si>
    <t xml:space="preserve">🟡 Nghệ Đỏ</t>
  </si>
  <si>
    <t xml:space="preserve">Kháng viêm #1, bảo vệ não</t>
  </si>
  <si>
    <t xml:space="preserve">Với dầu + tiêu đen (tăng hấp thu)</t>
  </si>
  <si>
    <t xml:space="preserve">✅ 30K/kg</t>
  </si>
  <si>
    <t xml:space="preserve">Gừng (kháng viêm nhẹ hơn)</t>
  </si>
  <si>
    <t xml:space="preserve">🍈 Ổi</t>
  </si>
  <si>
    <t xml:space="preserve">VitC gấp 4x cam, giàu xơ</t>
  </si>
  <si>
    <t xml:space="preserve">Ăn tươi, nước ép</t>
  </si>
  <si>
    <t xml:space="preserve">✅ 20K/kg</t>
  </si>
  <si>
    <t xml:space="preserve">Cam, bưởi</t>
  </si>
  <si>
    <t xml:space="preserve">8</t>
  </si>
  <si>
    <t xml:space="preserve">🦀 Cua Đồng</t>
  </si>
  <si>
    <t xml:space="preserve">Canxi siêu hạng (gấp 40x sữa)</t>
  </si>
  <si>
    <t xml:space="preserve">Canh riêu cua</t>
  </si>
  <si>
    <t xml:space="preserve">✅ 20K/lạng</t>
  </si>
  <si>
    <t xml:space="preserve">2-3x/tuần</t>
  </si>
  <si>
    <t xml:space="preserve">Hến, trai sông</t>
  </si>
  <si>
    <t xml:space="preserve">9</t>
  </si>
  <si>
    <t xml:space="preserve">🧄 Tỏi + Gừng</t>
  </si>
  <si>
    <t xml:space="preserve">Kháng khuẩn + Kháng viêm + Tiêu hóa</t>
  </si>
  <si>
    <t xml:space="preserve">Gia vị mọi món</t>
  </si>
  <si>
    <t xml:space="preserve">✅ Rất rẻ</t>
  </si>
  <si>
    <t xml:space="preserve">Hành, riềng, sả</t>
  </si>
  <si>
    <t xml:space="preserve">10</t>
  </si>
  <si>
    <t xml:space="preserve">🥛 Sữa chua</t>
  </si>
  <si>
    <t xml:space="preserve">Probiotics cho ruột + Trục não-ruột</t>
  </si>
  <si>
    <t xml:space="preserve">Ăn trực tiếp, không đường thêm</t>
  </si>
  <si>
    <t xml:space="preserve">✅ 5-8K/hũ</t>
  </si>
  <si>
    <t xml:space="preserve">Dưa muối tự làm</t>
  </si>
  <si>
    <t xml:space="preserve">💊 BỔ SUNG — CHỈ KHI CÓ DATA. KHÔNG ĐOÁN MÒ.</t>
  </si>
  <si>
    <t xml:space="preserve">🟢 NỀN TẢNG: Bổ sung hợp lý cho hầu hết mọi người</t>
  </si>
  <si>
    <t xml:space="preserve">Chất</t>
  </si>
  <si>
    <t xml:space="preserve">Liều</t>
  </si>
  <si>
    <t xml:space="preserve">Khi Nào</t>
  </si>
  <si>
    <t xml:space="preserve">Vì Sao?</t>
  </si>
  <si>
    <t xml:space="preserve">Giá/Tháng</t>
  </si>
  <si>
    <t xml:space="preserve">Bắt Đầu Từ</t>
  </si>
  <si>
    <t xml:space="preserve">Cần XN Trước?</t>
  </si>
  <si>
    <t xml:space="preserve">Vitamin D3 + K2</t>
  </si>
  <si>
    <t xml:space="preserve">2000 IU D3
100mcg K2</t>
  </si>
  <si>
    <t xml:space="preserve">Sáng, với bữa ăn có chất béo</t>
  </si>
  <si>
    <t xml:space="preserve">80% người VN thiếu D3
K2 điều hướng Ca vào xương</t>
  </si>
  <si>
    <t xml:space="preserve">~150K</t>
  </si>
  <si>
    <t xml:space="preserve">Layer 1</t>
  </si>
  <si>
    <t xml:space="preserve">Nên XN 25(OH)D
nhưng không bắt buộc</t>
  </si>
  <si>
    <t xml:space="preserve">D3 + K2 luôn đi cùng nhau</t>
  </si>
  <si>
    <t xml:space="preserve">Omega-3 (Dầu cá)</t>
  </si>
  <si>
    <t xml:space="preserve">1-2g EPA+DHA</t>
  </si>
  <si>
    <t xml:space="preserve">Cùng bữa ăn</t>
  </si>
  <si>
    <t xml:space="preserve">Kháng viêm. Bảo vệ tim &amp; não
Đa số người ăn không đủ</t>
  </si>
  <si>
    <t xml:space="preserve">~200K</t>
  </si>
  <si>
    <t xml:space="preserve">Hoặc ăn cá béo 3-4x/tuần</t>
  </si>
  <si>
    <t xml:space="preserve">Magnesium
Glycinate</t>
  </si>
  <si>
    <t xml:space="preserve">200-400mg</t>
  </si>
  <si>
    <t xml:space="preserve">Trước ngủ 30p</t>
  </si>
  <si>
    <t xml:space="preserve">300+ enzyme cần Mg
Hỗ trợ ngủ sâu, giảm chuột rút</t>
  </si>
  <si>
    <t xml:space="preserve">Dạng Glycinate ít tiêu chảy</t>
  </si>
  <si>
    <t xml:space="preserve">🟡 CHỈ BỔ SUNG SAU KHI XÉT NGHIỆM</t>
  </si>
  <si>
    <t xml:space="preserve">Nếu XN Cho Thấy...</t>
  </si>
  <si>
    <t xml:space="preserve">Thì Bổ Sung</t>
  </si>
  <si>
    <t xml:space="preserve">Homocysteine &gt; 9 µmol/L</t>
  </si>
  <si>
    <t xml:space="preserve">B-Complex (Methyl)
(Methylfolate + B12 + B6)</t>
  </si>
  <si>
    <t xml:space="preserve">1 viên/ngày, sáng</t>
  </si>
  <si>
    <t xml:space="preserve">Hỗ trợ chu trình Methylation
Giảm độc thần kinh</t>
  </si>
  <si>
    <t xml:space="preserve">Fasting Insulin &gt; 8</t>
  </si>
  <si>
    <t xml:space="preserve">Berberine hoặc tăng cường
Zone 2 + giảm carb</t>
  </si>
  <si>
    <t xml:space="preserve">500mg × 2/ngày
(hoặc chỉ thay đổi lối sống)</t>
  </si>
  <si>
    <t xml:space="preserve">Bàn với BS. Berberine mạnh
như Metformin nhẹ</t>
  </si>
  <si>
    <t xml:space="preserve">Grip yếu / Muốn tăng cơ</t>
  </si>
  <si>
    <t xml:space="preserve">Creatine Monohydrate</t>
  </si>
  <si>
    <t xml:space="preserve">5g/ngày, bất kỳ lúc nào</t>
  </si>
  <si>
    <t xml:space="preserve">An toàn nhất, nghiên cứu nhiều nhất.
Không cần pha nạp.</t>
  </si>
  <si>
    <t xml:space="preserve">Viêm ruột / Tiêu hóa kém</t>
  </si>
  <si>
    <t xml:space="preserve">Probiotics có chủng cụ thể</t>
  </si>
  <si>
    <t xml:space="preserve">Theo sản phẩm</t>
  </si>
  <si>
    <t xml:space="preserve">L. plantarum, B. longum
Hoặc ăn sữa chua/dưa muối</t>
  </si>
  <si>
    <t xml:space="preserve">Collagen/Gân yếu</t>
  </si>
  <si>
    <t xml:space="preserve">Collagen + VitC</t>
  </si>
  <si>
    <t xml:space="preserve">15g + 500mg
60p trước tập</t>
  </si>
  <si>
    <t xml:space="preserve">Keith Baar Protocol.
Chỉ ngày tập.</t>
  </si>
  <si>
    <t xml:space="preserve">🔴 LAYER 3 (Sau 18 tháng, tùy chọn — Nghiên cứu đang phát triển)</t>
  </si>
  <si>
    <t xml:space="preserve">NMN / NR</t>
  </si>
  <si>
    <t xml:space="preserve">Tiền chất NAD+ — năng lượng tế bào</t>
  </si>
  <si>
    <t xml:space="preserve">Nghiên cứu hứa hẹn nhưng chưa kết luận. ĐẮT (500K+/tháng). Chờ thêm data.</t>
  </si>
  <si>
    <t xml:space="preserve">Resveratrol</t>
  </si>
  <si>
    <t xml:space="preserve">Chống oxy hóa, kích hoạt Sirtuin</t>
  </si>
  <si>
    <t xml:space="preserve">Hiệu quả trên người chưa rõ ràng. Nếu thử: 500mg/ngày với chất béo.</t>
  </si>
  <si>
    <t xml:space="preserve">Spermidine</t>
  </si>
  <si>
    <t xml:space="preserve">Kích hoạt Autophagy</t>
  </si>
  <si>
    <t xml:space="preserve">Có trong đậu nành, nấm, phô mai. Bổ sung dạng viên = tùy chọn.</t>
  </si>
  <si>
    <t xml:space="preserve">📓 NHẬT KÝ THÁNG — Chỉ 30 Giây Mỗi Tối</t>
  </si>
  <si>
    <t xml:space="preserve">Mỗi tối trước khi ngủ, dành 30 giây điền 1 dòng. Đó là tất cả.</t>
  </si>
  <si>
    <t xml:space="preserve">Ngày</t>
  </si>
  <si>
    <t xml:space="preserve">Đã Tập?</t>
  </si>
  <si>
    <t xml:space="preserve">Loại Tập</t>
  </si>
  <si>
    <t xml:space="preserve">Ngủ
(giờ)</t>
  </si>
  <si>
    <t xml:space="preserve">Năng Lượng
(1-10)</t>
  </si>
  <si>
    <t xml:space="preserve">Protein
Đủ?</t>
  </si>
  <si>
    <t xml:space="preserve">Đi Bộ?</t>
  </si>
  <si>
    <t xml:space="preserve">Stress
(1-10)</t>
  </si>
  <si>
    <t xml:space="preserve">Một Điều Tốt
Hôm Nay</t>
  </si>
  <si>
    <t xml:space="preserve">Ghi Chú Ngắn</t>
  </si>
  <si>
    <t xml:space="preserve">TỔNG KẾT</t>
  </si>
  <si>
    <t xml:space="preserve">Mục tiêu</t>
  </si>
  <si>
    <t xml:space="preserve">≥ 15 ngày</t>
  </si>
  <si>
    <t xml:space="preserve">≥ 7h</t>
  </si>
  <si>
    <t xml:space="preserve">≥ 7</t>
  </si>
  <si>
    <t xml:space="preserve">&lt; 5</t>
  </si>
  <si>
    <t xml:space="preserve">🧘 PHỤC HỒI &amp; GIẤC NGỦ — Nơi Cơ Thể Thực Sự Mạnh Lên</t>
  </si>
  <si>
    <t xml:space="preserve">💤 GIẤC NGỦ — 'Thuốc' Mạnh Nhất Bạn Có</t>
  </si>
  <si>
    <t xml:space="preserve">Chi Tiết</t>
  </si>
  <si>
    <t xml:space="preserve">Fail-safe</t>
  </si>
  <si>
    <t xml:space="preserve">Ưu Tiên</t>
  </si>
  <si>
    <t xml:space="preserve">Ngủ đúng giờ</t>
  </si>
  <si>
    <t xml:space="preserve">Cố định giờ ngủ/thức
(kể cả cuối tuần)
Lệch tối đa 30-60 phút</t>
  </si>
  <si>
    <t xml:space="preserve">Ổn định nhịp sinh học
Cortisol cycle đúng
Melatonin tiết đúng giờ</t>
  </si>
  <si>
    <t xml:space="preserve">Cuối tuần: không lệch &gt; 1h
Jet lag: Ánh nắng sáng sớm</t>
  </si>
  <si>
    <t xml:space="preserve">🔒 KHÔNG
THƯƠNG LƯỢNG</t>
  </si>
  <si>
    <t xml:space="preserve">7-8 tiếng</t>
  </si>
  <si>
    <t xml:space="preserve">Tối thiểu 7h cho người tập
Lý tưởng: 7.5-8h
(5 chu kỳ × 90p)</t>
  </si>
  <si>
    <t xml:space="preserve">HGH tiết khi ngủ sâu
Cơ bắp phục hồi
Glymphatic thải amyloid</t>
  </si>
  <si>
    <t xml:space="preserve">Thiếu ngủ 1 đêm: OK
3 đêm liên tục: Cần ưu tiên lại</t>
  </si>
  <si>
    <t xml:space="preserve">Phòng tối + mát</t>
  </si>
  <si>
    <t xml:space="preserve">18-21°C
Rèm chắn sáng
Không đèn LED</t>
  </si>
  <si>
    <t xml:space="preserve">Nhiệt độ giảm = tín hiệu ngủ
Ánh sáng ức chế Melatonin</t>
  </si>
  <si>
    <t xml:space="preserve">Mặt nạ mắt + Quạt
nếu không có điều hòa</t>
  </si>
  <si>
    <t xml:space="preserve">Quan trọng</t>
  </si>
  <si>
    <t xml:space="preserve">Không màn hình 1h</t>
  </si>
  <si>
    <t xml:space="preserve">Đọc sách, thiền, thở
hoặc nói chuyện</t>
  </si>
  <si>
    <t xml:space="preserve">Ánh sáng xanh (446-483nm)
ức chế Melatonin trực tiếp</t>
  </si>
  <si>
    <t xml:space="preserve">Tối thiểu 30 phút
+ Bật Night Shift</t>
  </si>
  <si>
    <t xml:space="preserve">Nên làm</t>
  </si>
  <si>
    <t xml:space="preserve">Thở 4-7-8</t>
  </si>
  <si>
    <t xml:space="preserve">Hít 4s → Giữ 7s → Thở 8s
3-4 vòng trước ngủ</t>
  </si>
  <si>
    <t xml:space="preserve">Kích thích Vagus Nerve
Chuyển sang Phó giao cảm</t>
  </si>
  <si>
    <t xml:space="preserve">Chỉ cần 2 phút.
Thở sâu bất kỳ cũng tốt.</t>
  </si>
  <si>
    <t xml:space="preserve">♨️ PHỤC HỒI NÂNG CAO (Layer 2-3, thêm dần)</t>
  </si>
  <si>
    <t xml:space="preserve">Phương Pháp</t>
  </si>
  <si>
    <t xml:space="preserve">Giao Thức</t>
  </si>
  <si>
    <t xml:space="preserve">Khi Nào Thêm?</t>
  </si>
  <si>
    <t xml:space="preserve">Lưu Ý Quan Trọng</t>
  </si>
  <si>
    <t xml:space="preserve">🔥 Sauna</t>
  </si>
  <si>
    <t xml:space="preserve">15-20p/phiên, 2-3x/tuần
80-100°C
Mục tiêu: ~57p/tuần</t>
  </si>
  <si>
    <t xml:space="preserve">Layer 2 (sau 6 tháng)
Khi có điều kiện tiếp cận</t>
  </si>
  <si>
    <t xml:space="preserve">Bù nước đầy đủ
Không rượu trước
Sau tập strength = lý tưởng</t>
  </si>
  <si>
    <t xml:space="preserve">Layer 2</t>
  </si>
  <si>
    <t xml:space="preserve">🧊 Cold Plunge</t>
  </si>
  <si>
    <t xml:space="preserve">2-3 phút/phiên
Tổng ~11p/tuần</t>
  </si>
  <si>
    <t xml:space="preserve">Layer 3 (sau 18 tháng)
Khi sauna đã thành thói quen</t>
  </si>
  <si>
    <t xml:space="preserve">KHÔNG ngay sau tập tăng cơ
(giảm tín hiệu hypertrophy)
Sáng hoặc chiều riêng biệt</t>
  </si>
  <si>
    <t xml:space="preserve">Layer 3</t>
  </si>
  <si>
    <t xml:space="preserve">🧘 NSDR/Yoga Nidra</t>
  </si>
  <si>
    <t xml:space="preserve">10-20 phút
Nằm nghe hướng dẫn</t>
  </si>
  <si>
    <t xml:space="preserve">Layer 2-3
Khi cảm thấy cần phục hồi nhận thức</t>
  </si>
  <si>
    <t xml:space="preserve">Không thay thế giấc ngủ đêm
Tốt nhất: 2-4PM
Khôi phục Dopamine</t>
  </si>
  <si>
    <t xml:space="preserve">Layer 2-3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</si>
</sst>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4A7C59"/>
      <name val="Arial"/>
      <family val="0"/>
      <charset val="1"/>
    </font>
    <font>
      <sz val="10"/>
      <color rgb="FF2D314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1"/>
      <color rgb="FFB5463A"/>
      <name val="Arial"/>
      <family val="0"/>
      <charset val="1"/>
    </font>
    <font>
      <sz val="24"/>
      <name val="Cambria"/>
      <family val="0"/>
      <charset val="1"/>
    </font>
    <font>
      <b val="true"/>
      <sz val="10"/>
      <color rgb="FF2D3142"/>
      <name val="Arial"/>
      <family val="0"/>
      <charset val="1"/>
    </font>
    <font>
      <b val="true"/>
      <sz val="11"/>
      <color rgb="FF4A7C59"/>
      <name val="Arial"/>
      <family val="0"/>
      <charset val="1"/>
    </font>
    <font>
      <i val="true"/>
      <sz val="10"/>
      <color rgb="FFA9A18C"/>
      <name val="Arial"/>
      <family val="0"/>
      <charset val="1"/>
    </font>
    <font>
      <sz val="9"/>
      <color rgb="FF7F8C8D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2D3142"/>
      </patternFill>
    </fill>
    <fill>
      <patternFill patternType="solid">
        <fgColor rgb="FFE8F0E5"/>
        <bgColor rgb="FFE4ECF4"/>
      </patternFill>
    </fill>
    <fill>
      <patternFill patternType="solid">
        <fgColor rgb="FFFAF6F1"/>
        <bgColor rgb="FFFDF3E7"/>
      </patternFill>
    </fill>
    <fill>
      <patternFill patternType="solid">
        <fgColor rgb="FFFFFFFF"/>
        <bgColor rgb="FFFAF6F1"/>
      </patternFill>
    </fill>
    <fill>
      <patternFill patternType="solid">
        <fgColor rgb="FF2D3142"/>
        <bgColor rgb="FF1A1A2E"/>
      </patternFill>
    </fill>
    <fill>
      <patternFill patternType="solid">
        <fgColor rgb="FFFDF3E7"/>
        <bgColor rgb="FFFAF6F1"/>
      </patternFill>
    </fill>
    <fill>
      <patternFill patternType="solid">
        <fgColor rgb="FFE4ECF4"/>
        <bgColor rgb="FFE8F0E5"/>
      </patternFill>
    </fill>
    <fill>
      <patternFill patternType="solid">
        <fgColor rgb="FFF3E5F5"/>
        <bgColor rgb="FFE4ECF4"/>
      </patternFill>
    </fill>
    <fill>
      <patternFill patternType="solid">
        <fgColor rgb="FF4A7C59"/>
        <bgColor rgb="FF3D5A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17817"/>
      <rgbColor rgb="FF800080"/>
      <rgbColor rgb="FF008080"/>
      <rgbColor rgb="FFD5D0C8"/>
      <rgbColor rgb="FF7F8C8D"/>
      <rgbColor rgb="FF8BA888"/>
      <rgbColor rgb="FFB5463A"/>
      <rgbColor rgb="FFFDF3E7"/>
      <rgbColor rgb="FFE4ECF4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6F1"/>
      <rgbColor rgb="FFE8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D5A80"/>
      <rgbColor rgb="FFA9A18C"/>
      <rgbColor rgb="FF003366"/>
      <rgbColor rgb="FF4A7C59"/>
      <rgbColor rgb="FF003300"/>
      <rgbColor rgb="FF1A1A2E"/>
      <rgbColor rgb="FF993300"/>
      <rgbColor rgb="FF8E44AD"/>
      <rgbColor rgb="FF333399"/>
      <rgbColor rgb="FF2D31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9"/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30"/>
    <col collapsed="false" customWidth="true" hidden="false" outlineLevel="0" max="7" min="5" style="0" width="22"/>
    <col collapsed="false" customWidth="true" hidden="false" outlineLevel="0" max="8" min="8" style="0" width="28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A5" s="3" t="s">
        <v>2</v>
      </c>
      <c r="B5" s="3" t="s">
        <v>3</v>
      </c>
      <c r="C5" s="3" t="s">
        <v>4</v>
      </c>
      <c r="D5" s="3"/>
      <c r="E5" s="3"/>
      <c r="F5" s="3"/>
      <c r="G5" s="3"/>
      <c r="H5" s="3"/>
    </row>
    <row r="6" customFormat="false" ht="30" hidden="false" customHeight="true" outlineLevel="0" collapsed="false">
      <c r="A6" s="4" t="s">
        <v>5</v>
      </c>
      <c r="B6" s="4" t="s">
        <v>6</v>
      </c>
      <c r="C6" s="4" t="s">
        <v>7</v>
      </c>
      <c r="D6" s="4"/>
      <c r="E6" s="4"/>
      <c r="F6" s="4"/>
      <c r="G6" s="4"/>
      <c r="H6" s="4"/>
    </row>
    <row r="7" customFormat="false" ht="30" hidden="false" customHeight="true" outlineLevel="0" collapsed="false">
      <c r="A7" s="3" t="s">
        <v>8</v>
      </c>
      <c r="B7" s="3" t="s">
        <v>9</v>
      </c>
      <c r="C7" s="3" t="s">
        <v>10</v>
      </c>
      <c r="D7" s="3"/>
      <c r="E7" s="3"/>
      <c r="F7" s="3"/>
      <c r="G7" s="3"/>
      <c r="H7" s="3"/>
    </row>
    <row r="8" customFormat="false" ht="30" hidden="false" customHeight="true" outlineLevel="0" collapsed="false">
      <c r="A8" s="4" t="s">
        <v>11</v>
      </c>
      <c r="B8" s="4" t="s">
        <v>12</v>
      </c>
      <c r="C8" s="4" t="s">
        <v>13</v>
      </c>
      <c r="D8" s="4"/>
      <c r="E8" s="4"/>
      <c r="F8" s="4"/>
      <c r="G8" s="4"/>
      <c r="H8" s="4"/>
    </row>
    <row r="9" customFormat="false" ht="30" hidden="false" customHeight="true" outlineLevel="0" collapsed="false">
      <c r="A9" s="3" t="s">
        <v>14</v>
      </c>
      <c r="B9" s="3" t="s">
        <v>15</v>
      </c>
      <c r="C9" s="3" t="s">
        <v>16</v>
      </c>
      <c r="D9" s="3"/>
      <c r="E9" s="3"/>
      <c r="F9" s="3"/>
      <c r="G9" s="3"/>
      <c r="H9" s="3"/>
    </row>
    <row r="12" customFormat="false" ht="15" hidden="false" customHeight="true" outlineLevel="0" collapsed="false">
      <c r="A12" s="2" t="s">
        <v>17</v>
      </c>
      <c r="B12" s="2"/>
      <c r="C12" s="2"/>
      <c r="D12" s="2"/>
      <c r="E12" s="2"/>
      <c r="F12" s="2"/>
      <c r="G12" s="2"/>
      <c r="H12" s="2"/>
    </row>
    <row r="14" customFormat="false" ht="26.85" hidden="false" customHeight="false" outlineLevel="0" collapsed="false">
      <c r="A14" s="5" t="s">
        <v>18</v>
      </c>
      <c r="B14" s="5" t="s">
        <v>19</v>
      </c>
      <c r="C14" s="5" t="s">
        <v>20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25</v>
      </c>
    </row>
    <row r="15" customFormat="false" ht="129.75" hidden="false" customHeight="true" outlineLevel="0" collapsed="false">
      <c r="A15" s="6" t="s">
        <v>26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32</v>
      </c>
      <c r="H15" s="3" t="s">
        <v>33</v>
      </c>
    </row>
    <row r="16" customFormat="false" ht="129.75" hidden="false" customHeight="true" outlineLevel="0" collapsed="false">
      <c r="A16" s="7" t="s">
        <v>34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</row>
    <row r="17" customFormat="false" ht="129.75" hidden="false" customHeight="true" outlineLevel="0" collapsed="false">
      <c r="A17" s="8" t="s">
        <v>42</v>
      </c>
      <c r="B17" s="3" t="s">
        <v>43</v>
      </c>
      <c r="C17" s="3" t="s">
        <v>44</v>
      </c>
      <c r="D17" s="3" t="s">
        <v>45</v>
      </c>
      <c r="E17" s="3" t="s">
        <v>46</v>
      </c>
      <c r="F17" s="3" t="s">
        <v>47</v>
      </c>
      <c r="G17" s="3" t="s">
        <v>48</v>
      </c>
      <c r="H17" s="3" t="s">
        <v>49</v>
      </c>
    </row>
    <row r="19" customFormat="false" ht="15" hidden="false" customHeight="true" outlineLevel="0" collapsed="false">
      <c r="A19" s="2" t="s">
        <v>50</v>
      </c>
      <c r="B19" s="2"/>
      <c r="C19" s="2"/>
      <c r="D19" s="2"/>
      <c r="E19" s="2"/>
      <c r="F19" s="2"/>
      <c r="G19" s="2"/>
      <c r="H19" s="2"/>
    </row>
    <row r="21" customFormat="false" ht="15" hidden="false" customHeight="false" outlineLevel="0" collapsed="false">
      <c r="A21" s="5" t="s">
        <v>51</v>
      </c>
      <c r="B21" s="5" t="s">
        <v>52</v>
      </c>
      <c r="C21" s="5" t="s">
        <v>53</v>
      </c>
      <c r="D21" s="5" t="s">
        <v>54</v>
      </c>
      <c r="E21" s="5" t="s">
        <v>55</v>
      </c>
      <c r="F21" s="5" t="s">
        <v>56</v>
      </c>
      <c r="G21" s="5" t="s">
        <v>57</v>
      </c>
      <c r="H21" s="5" t="s">
        <v>58</v>
      </c>
    </row>
    <row r="22" customFormat="false" ht="79.5" hidden="false" customHeight="true" outlineLevel="0" collapsed="false">
      <c r="A22" s="9" t="s">
        <v>59</v>
      </c>
      <c r="B22" s="3" t="s">
        <v>60</v>
      </c>
      <c r="C22" s="3" t="s">
        <v>61</v>
      </c>
      <c r="D22" s="3" t="s">
        <v>62</v>
      </c>
      <c r="E22" s="3" t="s">
        <v>63</v>
      </c>
      <c r="F22" s="3" t="s">
        <v>64</v>
      </c>
      <c r="G22" s="3" t="s">
        <v>65</v>
      </c>
      <c r="H22" s="3" t="s">
        <v>66</v>
      </c>
    </row>
    <row r="23" customFormat="false" ht="79.5" hidden="false" customHeight="true" outlineLevel="0" collapsed="false">
      <c r="A23" s="10" t="s">
        <v>67</v>
      </c>
      <c r="B23" s="4" t="s">
        <v>68</v>
      </c>
      <c r="C23" s="4" t="s">
        <v>69</v>
      </c>
      <c r="D23" s="4" t="s">
        <v>70</v>
      </c>
      <c r="E23" s="4" t="s">
        <v>71</v>
      </c>
      <c r="F23" s="4" t="s">
        <v>72</v>
      </c>
      <c r="G23" s="4" t="s">
        <v>73</v>
      </c>
      <c r="H23" s="4" t="s">
        <v>74</v>
      </c>
    </row>
    <row r="24" customFormat="false" ht="79.5" hidden="false" customHeight="true" outlineLevel="0" collapsed="false">
      <c r="A24" s="11" t="s">
        <v>75</v>
      </c>
      <c r="B24" s="3" t="s">
        <v>76</v>
      </c>
      <c r="C24" s="3" t="s">
        <v>77</v>
      </c>
      <c r="D24" s="3" t="s">
        <v>78</v>
      </c>
      <c r="E24" s="3" t="s">
        <v>79</v>
      </c>
      <c r="F24" s="3" t="s">
        <v>80</v>
      </c>
      <c r="G24" s="3" t="s">
        <v>81</v>
      </c>
      <c r="H24" s="3" t="s">
        <v>82</v>
      </c>
    </row>
  </sheetData>
  <mergeCells count="9">
    <mergeCell ref="A1:H1"/>
    <mergeCell ref="A3:H3"/>
    <mergeCell ref="C5:H5"/>
    <mergeCell ref="C6:H6"/>
    <mergeCell ref="C7:H7"/>
    <mergeCell ref="C8:H8"/>
    <mergeCell ref="C9:H9"/>
    <mergeCell ref="A12:H1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463A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2"/>
    <col collapsed="false" customWidth="true" hidden="false" outlineLevel="0" max="5" min="5" style="0" width="18"/>
    <col collapsed="false" customWidth="true" hidden="false" outlineLevel="0" max="7" min="6" style="0" width="22"/>
  </cols>
  <sheetData>
    <row r="1" customFormat="false" ht="17.3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84</v>
      </c>
      <c r="B3" s="2"/>
      <c r="C3" s="2"/>
      <c r="D3" s="2"/>
      <c r="E3" s="2"/>
      <c r="F3" s="2"/>
      <c r="G3" s="2"/>
      <c r="H3" s="2"/>
    </row>
    <row r="5" customFormat="false" ht="39.55" hidden="false" customHeight="false" outlineLevel="0" collapsed="false">
      <c r="A5" s="5" t="s">
        <v>85</v>
      </c>
      <c r="B5" s="5" t="s">
        <v>86</v>
      </c>
      <c r="C5" s="5" t="s">
        <v>87</v>
      </c>
      <c r="D5" s="5" t="s">
        <v>88</v>
      </c>
      <c r="E5" s="5" t="s">
        <v>89</v>
      </c>
      <c r="F5" s="5" t="s">
        <v>90</v>
      </c>
      <c r="G5" s="5" t="s">
        <v>91</v>
      </c>
    </row>
    <row r="6" customFormat="false" ht="139.5" hidden="false" customHeight="true" outlineLevel="0" collapsed="false">
      <c r="A6" s="12" t="s">
        <v>92</v>
      </c>
      <c r="B6" s="13" t="s">
        <v>93</v>
      </c>
      <c r="C6" s="3" t="s">
        <v>94</v>
      </c>
      <c r="D6" s="3" t="s">
        <v>95</v>
      </c>
      <c r="E6" s="3" t="s">
        <v>96</v>
      </c>
      <c r="F6" s="3" t="s">
        <v>97</v>
      </c>
      <c r="G6" s="3" t="s">
        <v>98</v>
      </c>
    </row>
    <row r="7" customFormat="false" ht="139.5" hidden="false" customHeight="true" outlineLevel="0" collapsed="false">
      <c r="A7" s="14" t="s">
        <v>99</v>
      </c>
      <c r="B7" s="15" t="s">
        <v>100</v>
      </c>
      <c r="C7" s="4" t="s">
        <v>101</v>
      </c>
      <c r="D7" s="4" t="s">
        <v>102</v>
      </c>
      <c r="E7" s="4" t="s">
        <v>103</v>
      </c>
      <c r="F7" s="4" t="s">
        <v>104</v>
      </c>
      <c r="G7" s="4" t="s">
        <v>105</v>
      </c>
    </row>
    <row r="8" customFormat="false" ht="139.5" hidden="false" customHeight="true" outlineLevel="0" collapsed="false">
      <c r="A8" s="12" t="s">
        <v>106</v>
      </c>
      <c r="B8" s="13" t="s">
        <v>107</v>
      </c>
      <c r="C8" s="3" t="s">
        <v>108</v>
      </c>
      <c r="D8" s="3" t="s">
        <v>109</v>
      </c>
      <c r="E8" s="3" t="s">
        <v>110</v>
      </c>
      <c r="F8" s="3" t="s">
        <v>111</v>
      </c>
      <c r="G8" s="3" t="s">
        <v>112</v>
      </c>
    </row>
    <row r="9" customFormat="false" ht="139.5" hidden="false" customHeight="true" outlineLevel="0" collapsed="false">
      <c r="A9" s="14" t="s">
        <v>113</v>
      </c>
      <c r="B9" s="15" t="s">
        <v>114</v>
      </c>
      <c r="C9" s="4" t="s">
        <v>115</v>
      </c>
      <c r="D9" s="4" t="s">
        <v>116</v>
      </c>
      <c r="E9" s="4" t="s">
        <v>117</v>
      </c>
      <c r="F9" s="4" t="s">
        <v>118</v>
      </c>
      <c r="G9" s="4" t="s">
        <v>119</v>
      </c>
    </row>
    <row r="12" customFormat="false" ht="15" hidden="false" customHeight="true" outlineLevel="0" collapsed="false">
      <c r="A12" s="2" t="s">
        <v>120</v>
      </c>
      <c r="B12" s="2"/>
      <c r="C12" s="2"/>
      <c r="D12" s="2"/>
      <c r="E12" s="2"/>
      <c r="F12" s="2"/>
      <c r="G12" s="2"/>
    </row>
    <row r="14" customFormat="false" ht="15" hidden="false" customHeight="false" outlineLevel="0" collapsed="false">
      <c r="A14" s="5" t="s">
        <v>121</v>
      </c>
      <c r="B14" s="5" t="s">
        <v>122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</row>
    <row r="15" customFormat="false" ht="79.5" hidden="false" customHeight="true" outlineLevel="0" collapsed="false">
      <c r="A15" s="3" t="s">
        <v>128</v>
      </c>
      <c r="B15" s="3" t="s">
        <v>129</v>
      </c>
      <c r="C15" s="3" t="s">
        <v>130</v>
      </c>
      <c r="D15" s="3" t="s">
        <v>131</v>
      </c>
      <c r="E15" s="3" t="s">
        <v>132</v>
      </c>
      <c r="F15" s="3" t="s">
        <v>133</v>
      </c>
      <c r="G15" s="3" t="s">
        <v>134</v>
      </c>
    </row>
    <row r="16" customFormat="false" ht="79.5" hidden="false" customHeight="true" outlineLevel="0" collapsed="false">
      <c r="A16" s="4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</row>
    <row r="17" customFormat="false" ht="79.5" hidden="false" customHeight="true" outlineLevel="0" collapsed="false">
      <c r="A17" s="3" t="s">
        <v>142</v>
      </c>
      <c r="B17" s="3" t="s">
        <v>143</v>
      </c>
      <c r="C17" s="3" t="s">
        <v>144</v>
      </c>
      <c r="D17" s="3" t="s">
        <v>145</v>
      </c>
      <c r="E17" s="3" t="s">
        <v>146</v>
      </c>
      <c r="F17" s="3" t="s">
        <v>147</v>
      </c>
      <c r="G17" s="3" t="s">
        <v>148</v>
      </c>
    </row>
    <row r="18" customFormat="false" ht="79.5" hidden="false" customHeight="true" outlineLevel="0" collapsed="false">
      <c r="A18" s="4" t="s">
        <v>149</v>
      </c>
      <c r="B18" s="4" t="s">
        <v>150</v>
      </c>
      <c r="C18" s="4" t="s">
        <v>151</v>
      </c>
      <c r="D18" s="4" t="s">
        <v>152</v>
      </c>
      <c r="E18" s="4" t="s">
        <v>153</v>
      </c>
      <c r="F18" s="4" t="s">
        <v>147</v>
      </c>
      <c r="G18" s="4" t="s">
        <v>154</v>
      </c>
    </row>
    <row r="19" customFormat="false" ht="79.5" hidden="false" customHeight="true" outlineLevel="0" collapsed="false">
      <c r="A19" s="3" t="s">
        <v>155</v>
      </c>
      <c r="B19" s="3" t="s">
        <v>156</v>
      </c>
      <c r="C19" s="3" t="s">
        <v>157</v>
      </c>
      <c r="D19" s="3" t="s">
        <v>158</v>
      </c>
      <c r="E19" s="3" t="s">
        <v>159</v>
      </c>
      <c r="F19" s="3" t="s">
        <v>160</v>
      </c>
      <c r="G19" s="3" t="s">
        <v>161</v>
      </c>
    </row>
  </sheetData>
  <mergeCells count="3">
    <mergeCell ref="A1:H1"/>
    <mergeCell ref="A3:H3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5A8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8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8" min="7" style="0" width="18"/>
  </cols>
  <sheetData>
    <row r="1" customFormat="false" ht="17.3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163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5" t="s">
        <v>164</v>
      </c>
      <c r="B5" s="5" t="s">
        <v>165</v>
      </c>
      <c r="C5" s="5" t="s">
        <v>166</v>
      </c>
      <c r="D5" s="5" t="s">
        <v>19</v>
      </c>
      <c r="E5" s="5" t="s">
        <v>167</v>
      </c>
      <c r="F5" s="5" t="s">
        <v>168</v>
      </c>
      <c r="G5" s="5" t="s">
        <v>169</v>
      </c>
      <c r="H5" s="5" t="s">
        <v>170</v>
      </c>
    </row>
    <row r="6" customFormat="false" ht="69.75" hidden="false" customHeight="true" outlineLevel="0" collapsed="false">
      <c r="A6" s="3" t="s">
        <v>171</v>
      </c>
      <c r="B6" s="10" t="s">
        <v>172</v>
      </c>
      <c r="C6" s="3" t="s">
        <v>173</v>
      </c>
      <c r="D6" s="3" t="s">
        <v>174</v>
      </c>
      <c r="E6" s="3" t="s">
        <v>175</v>
      </c>
      <c r="F6" s="3" t="s">
        <v>176</v>
      </c>
      <c r="G6" s="3" t="s">
        <v>177</v>
      </c>
      <c r="H6" s="3"/>
    </row>
    <row r="7" customFormat="false" ht="69.75" hidden="false" customHeight="true" outlineLevel="0" collapsed="false">
      <c r="A7" s="4" t="s">
        <v>178</v>
      </c>
      <c r="B7" s="9" t="s">
        <v>179</v>
      </c>
      <c r="C7" s="4" t="s">
        <v>180</v>
      </c>
      <c r="D7" s="4" t="s">
        <v>181</v>
      </c>
      <c r="E7" s="4" t="s">
        <v>182</v>
      </c>
      <c r="F7" s="4" t="s">
        <v>183</v>
      </c>
      <c r="G7" s="4" t="s">
        <v>184</v>
      </c>
      <c r="H7" s="4"/>
    </row>
    <row r="8" customFormat="false" ht="69.75" hidden="false" customHeight="true" outlineLevel="0" collapsed="false">
      <c r="A8" s="3" t="s">
        <v>185</v>
      </c>
      <c r="B8" s="10" t="s">
        <v>186</v>
      </c>
      <c r="C8" s="3" t="s">
        <v>187</v>
      </c>
      <c r="D8" s="3" t="s">
        <v>174</v>
      </c>
      <c r="E8" s="3" t="s">
        <v>188</v>
      </c>
      <c r="F8" s="3" t="s">
        <v>189</v>
      </c>
      <c r="G8" s="3" t="s">
        <v>177</v>
      </c>
      <c r="H8" s="3"/>
    </row>
    <row r="9" customFormat="false" ht="69.75" hidden="false" customHeight="true" outlineLevel="0" collapsed="false">
      <c r="A9" s="4" t="s">
        <v>190</v>
      </c>
      <c r="B9" s="9" t="s">
        <v>179</v>
      </c>
      <c r="C9" s="4" t="s">
        <v>191</v>
      </c>
      <c r="D9" s="4" t="s">
        <v>181</v>
      </c>
      <c r="E9" s="4" t="s">
        <v>192</v>
      </c>
      <c r="F9" s="4" t="s">
        <v>193</v>
      </c>
      <c r="G9" s="4" t="s">
        <v>184</v>
      </c>
      <c r="H9" s="4"/>
    </row>
    <row r="10" customFormat="false" ht="69.75" hidden="false" customHeight="true" outlineLevel="0" collapsed="false">
      <c r="A10" s="3" t="s">
        <v>194</v>
      </c>
      <c r="B10" s="10" t="s">
        <v>195</v>
      </c>
      <c r="C10" s="3" t="s">
        <v>196</v>
      </c>
      <c r="D10" s="3" t="s">
        <v>174</v>
      </c>
      <c r="E10" s="3" t="s">
        <v>188</v>
      </c>
      <c r="F10" s="3" t="s">
        <v>197</v>
      </c>
      <c r="G10" s="3" t="s">
        <v>198</v>
      </c>
      <c r="H10" s="3"/>
    </row>
    <row r="11" customFormat="false" ht="69.75" hidden="false" customHeight="true" outlineLevel="0" collapsed="false">
      <c r="A11" s="4" t="s">
        <v>199</v>
      </c>
      <c r="B11" s="11" t="s">
        <v>200</v>
      </c>
      <c r="C11" s="4" t="s">
        <v>201</v>
      </c>
      <c r="D11" s="4" t="s">
        <v>202</v>
      </c>
      <c r="E11" s="4" t="s">
        <v>203</v>
      </c>
      <c r="F11" s="4" t="s">
        <v>204</v>
      </c>
      <c r="G11" s="4" t="s">
        <v>184</v>
      </c>
      <c r="H11" s="4"/>
    </row>
    <row r="12" customFormat="false" ht="69.75" hidden="false" customHeight="true" outlineLevel="0" collapsed="false">
      <c r="A12" s="3" t="s">
        <v>205</v>
      </c>
      <c r="B12" s="16" t="s">
        <v>206</v>
      </c>
      <c r="C12" s="3" t="s">
        <v>207</v>
      </c>
      <c r="D12" s="3" t="s">
        <v>202</v>
      </c>
      <c r="E12" s="3" t="s">
        <v>208</v>
      </c>
      <c r="F12" s="3" t="s">
        <v>209</v>
      </c>
      <c r="G12" s="3" t="s">
        <v>210</v>
      </c>
      <c r="H12" s="3"/>
    </row>
    <row r="15" customFormat="false" ht="15" hidden="false" customHeight="true" outlineLevel="0" collapsed="false">
      <c r="A15" s="2" t="s">
        <v>211</v>
      </c>
      <c r="B15" s="2"/>
      <c r="C15" s="2"/>
      <c r="D15" s="2"/>
      <c r="E15" s="2"/>
      <c r="F15" s="2"/>
      <c r="G15" s="2"/>
      <c r="H15" s="2"/>
    </row>
    <row r="17" customFormat="false" ht="60" hidden="false" customHeight="true" outlineLevel="0" collapsed="false">
      <c r="A17" s="3" t="s">
        <v>212</v>
      </c>
      <c r="B17" s="3" t="s">
        <v>213</v>
      </c>
      <c r="C17" s="3"/>
      <c r="D17" s="3"/>
      <c r="E17" s="3"/>
      <c r="F17" s="3" t="s">
        <v>214</v>
      </c>
      <c r="G17" s="3"/>
      <c r="H17" s="3"/>
    </row>
    <row r="18" customFormat="false" ht="60" hidden="false" customHeight="true" outlineLevel="0" collapsed="false">
      <c r="A18" s="4" t="s">
        <v>215</v>
      </c>
      <c r="B18" s="4" t="s">
        <v>216</v>
      </c>
      <c r="C18" s="4"/>
      <c r="D18" s="4"/>
      <c r="E18" s="4"/>
      <c r="F18" s="4" t="s">
        <v>217</v>
      </c>
      <c r="G18" s="4"/>
      <c r="H18" s="4"/>
    </row>
    <row r="19" customFormat="false" ht="60" hidden="false" customHeight="true" outlineLevel="0" collapsed="false">
      <c r="A19" s="3" t="s">
        <v>218</v>
      </c>
      <c r="B19" s="3" t="s">
        <v>219</v>
      </c>
      <c r="C19" s="3"/>
      <c r="D19" s="3"/>
      <c r="E19" s="3"/>
      <c r="F19" s="3" t="s">
        <v>220</v>
      </c>
      <c r="G19" s="3"/>
      <c r="H19" s="3"/>
    </row>
    <row r="20" customFormat="false" ht="60" hidden="false" customHeight="true" outlineLevel="0" collapsed="false">
      <c r="A20" s="4" t="s">
        <v>221</v>
      </c>
      <c r="B20" s="4" t="s">
        <v>222</v>
      </c>
      <c r="C20" s="4"/>
      <c r="D20" s="4"/>
      <c r="E20" s="4"/>
      <c r="F20" s="4" t="s">
        <v>223</v>
      </c>
      <c r="G20" s="4"/>
      <c r="H20" s="4"/>
    </row>
  </sheetData>
  <mergeCells count="11">
    <mergeCell ref="A1:H1"/>
    <mergeCell ref="A3:H3"/>
    <mergeCell ref="A15:H15"/>
    <mergeCell ref="B17:E17"/>
    <mergeCell ref="F17:H17"/>
    <mergeCell ref="B18:E18"/>
    <mergeCell ref="F18:H18"/>
    <mergeCell ref="B19:E19"/>
    <mergeCell ref="F19:H19"/>
    <mergeCell ref="B20:E20"/>
    <mergeCell ref="F20:H20"/>
  </mergeCells>
  <dataValidations count="1">
    <dataValidation allowBlank="false" errorStyle="stop" operator="between" showDropDown="false" showErrorMessage="false" showInputMessage="false" sqref="H6:H12" type="list">
      <formula1>"✅,❌,⏭️"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7817"/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6"/>
  </cols>
  <sheetData>
    <row r="1" customFormat="false" ht="17.35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true" outlineLevel="0" collapsed="false">
      <c r="A3" s="2" t="s">
        <v>225</v>
      </c>
      <c r="B3" s="2"/>
      <c r="C3" s="2"/>
      <c r="D3" s="2"/>
      <c r="E3" s="2"/>
      <c r="F3" s="2"/>
      <c r="G3" s="2"/>
      <c r="H3" s="2"/>
      <c r="I3" s="2"/>
    </row>
    <row r="5" customFormat="false" ht="26.85" hidden="false" customHeight="false" outlineLevel="0" collapsed="false">
      <c r="A5" s="5" t="s">
        <v>226</v>
      </c>
      <c r="B5" s="5" t="s">
        <v>227</v>
      </c>
      <c r="C5" s="5" t="s">
        <v>228</v>
      </c>
      <c r="D5" s="5" t="s">
        <v>229</v>
      </c>
      <c r="E5" s="5" t="s">
        <v>230</v>
      </c>
      <c r="F5" s="5" t="s">
        <v>231</v>
      </c>
      <c r="G5" s="5" t="s">
        <v>232</v>
      </c>
      <c r="H5" s="5" t="s">
        <v>233</v>
      </c>
      <c r="I5" s="5" t="s">
        <v>234</v>
      </c>
    </row>
    <row r="6" customFormat="false" ht="39.75" hidden="false" customHeight="true" outlineLevel="0" collapsed="false">
      <c r="A6" s="17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/>
      <c r="H6" s="3"/>
      <c r="I6" s="3"/>
    </row>
    <row r="7" customFormat="false" ht="39.75" hidden="false" customHeight="true" outlineLevel="0" collapsed="false">
      <c r="A7" s="18" t="s">
        <v>241</v>
      </c>
      <c r="B7" s="4" t="s">
        <v>242</v>
      </c>
      <c r="C7" s="4" t="s">
        <v>243</v>
      </c>
      <c r="D7" s="4" t="s">
        <v>244</v>
      </c>
      <c r="E7" s="4" t="s">
        <v>245</v>
      </c>
      <c r="F7" s="4" t="s">
        <v>240</v>
      </c>
      <c r="G7" s="4"/>
      <c r="H7" s="4"/>
      <c r="I7" s="4"/>
    </row>
    <row r="8" customFormat="false" ht="39.75" hidden="false" customHeight="true" outlineLevel="0" collapsed="false">
      <c r="A8" s="17" t="s">
        <v>246</v>
      </c>
      <c r="B8" s="3" t="s">
        <v>247</v>
      </c>
      <c r="C8" s="3" t="s">
        <v>248</v>
      </c>
      <c r="D8" s="3" t="s">
        <v>249</v>
      </c>
      <c r="E8" s="3" t="s">
        <v>250</v>
      </c>
      <c r="F8" s="3" t="s">
        <v>240</v>
      </c>
      <c r="G8" s="3"/>
      <c r="H8" s="3"/>
      <c r="I8" s="3"/>
    </row>
    <row r="9" customFormat="false" ht="39.75" hidden="false" customHeight="true" outlineLevel="0" collapsed="false">
      <c r="A9" s="18" t="s">
        <v>251</v>
      </c>
      <c r="B9" s="4" t="s">
        <v>252</v>
      </c>
      <c r="C9" s="4" t="s">
        <v>253</v>
      </c>
      <c r="D9" s="4" t="s">
        <v>254</v>
      </c>
      <c r="E9" s="4" t="s">
        <v>255</v>
      </c>
      <c r="F9" s="4" t="s">
        <v>240</v>
      </c>
      <c r="G9" s="4"/>
      <c r="H9" s="4"/>
      <c r="I9" s="4"/>
    </row>
    <row r="10" customFormat="false" ht="39.75" hidden="false" customHeight="true" outlineLevel="0" collapsed="false">
      <c r="A10" s="17" t="s">
        <v>256</v>
      </c>
      <c r="B10" s="3" t="s">
        <v>257</v>
      </c>
      <c r="C10" s="3" t="s">
        <v>258</v>
      </c>
      <c r="D10" s="3" t="s">
        <v>259</v>
      </c>
      <c r="E10" s="3" t="s">
        <v>260</v>
      </c>
      <c r="F10" s="3" t="s">
        <v>240</v>
      </c>
      <c r="G10" s="3"/>
      <c r="H10" s="3"/>
      <c r="I10" s="3"/>
    </row>
    <row r="11" customFormat="false" ht="39.75" hidden="false" customHeight="true" outlineLevel="0" collapsed="false">
      <c r="A11" s="18" t="s">
        <v>261</v>
      </c>
      <c r="B11" s="4" t="s">
        <v>262</v>
      </c>
      <c r="C11" s="4" t="s">
        <v>263</v>
      </c>
      <c r="D11" s="4" t="s">
        <v>264</v>
      </c>
      <c r="E11" s="4" t="s">
        <v>265</v>
      </c>
      <c r="F11" s="4" t="s">
        <v>266</v>
      </c>
      <c r="G11" s="4"/>
      <c r="H11" s="4"/>
      <c r="I11" s="4"/>
    </row>
    <row r="12" customFormat="false" ht="39.75" hidden="false" customHeight="true" outlineLevel="0" collapsed="false">
      <c r="A12" s="17" t="s">
        <v>267</v>
      </c>
      <c r="B12" s="3" t="s">
        <v>268</v>
      </c>
      <c r="C12" s="3" t="s">
        <v>269</v>
      </c>
      <c r="D12" s="3" t="s">
        <v>270</v>
      </c>
      <c r="E12" s="3" t="s">
        <v>271</v>
      </c>
      <c r="F12" s="3" t="s">
        <v>272</v>
      </c>
      <c r="G12" s="3"/>
      <c r="H12" s="3"/>
      <c r="I12" s="3"/>
    </row>
    <row r="15" customFormat="false" ht="15" hidden="false" customHeight="true" outlineLevel="0" collapsed="false">
      <c r="A15" s="2" t="s">
        <v>273</v>
      </c>
      <c r="B15" s="2"/>
      <c r="C15" s="2"/>
      <c r="D15" s="2"/>
      <c r="E15" s="2"/>
      <c r="F15" s="2"/>
      <c r="G15" s="2"/>
      <c r="H15" s="2"/>
      <c r="I15" s="2"/>
    </row>
    <row r="17" customFormat="false" ht="79.85" hidden="false" customHeight="false" outlineLevel="0" collapsed="false">
      <c r="A17" s="3" t="s">
        <v>274</v>
      </c>
      <c r="B17" s="3" t="s">
        <v>275</v>
      </c>
      <c r="C17" s="3" t="s">
        <v>276</v>
      </c>
      <c r="D17" s="3" t="s">
        <v>277</v>
      </c>
      <c r="E17" s="3"/>
      <c r="F17" s="3"/>
      <c r="G17" s="3"/>
      <c r="H17" s="3"/>
      <c r="I17" s="3"/>
    </row>
    <row r="18" customFormat="false" ht="79.85" hidden="false" customHeight="false" outlineLevel="0" collapsed="false">
      <c r="A18" s="4" t="s">
        <v>278</v>
      </c>
      <c r="B18" s="4" t="s">
        <v>279</v>
      </c>
      <c r="C18" s="4" t="s">
        <v>280</v>
      </c>
      <c r="D18" s="4" t="s">
        <v>281</v>
      </c>
      <c r="E18" s="4"/>
      <c r="F18" s="4"/>
      <c r="G18" s="4"/>
      <c r="H18" s="4"/>
      <c r="I18" s="4"/>
    </row>
    <row r="21" customFormat="false" ht="15" hidden="false" customHeight="true" outlineLevel="0" collapsed="false">
      <c r="A21" s="2" t="s">
        <v>282</v>
      </c>
      <c r="B21" s="2"/>
      <c r="C21" s="2"/>
      <c r="D21" s="2"/>
      <c r="E21" s="2"/>
      <c r="F21" s="2"/>
      <c r="G21" s="2"/>
      <c r="H21" s="2"/>
      <c r="I21" s="2"/>
    </row>
    <row r="23" customFormat="false" ht="26.85" hidden="false" customHeight="false" outlineLevel="0" collapsed="false">
      <c r="A23" s="5" t="s">
        <v>53</v>
      </c>
      <c r="B23" s="5" t="s">
        <v>52</v>
      </c>
      <c r="C23" s="5" t="s">
        <v>236</v>
      </c>
      <c r="D23" s="5" t="s">
        <v>283</v>
      </c>
      <c r="E23" s="5" t="s">
        <v>247</v>
      </c>
      <c r="F23" s="5" t="s">
        <v>252</v>
      </c>
      <c r="G23" s="5" t="s">
        <v>257</v>
      </c>
      <c r="H23" s="5" t="s">
        <v>284</v>
      </c>
      <c r="I23" s="5" t="s">
        <v>285</v>
      </c>
    </row>
    <row r="24" customFormat="false" ht="15" hidden="false" customHeight="false" outlineLevel="0" collapsed="false">
      <c r="A24" s="3" t="n">
        <v>2026</v>
      </c>
      <c r="B24" s="3" t="n">
        <v>36</v>
      </c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4" t="n">
        <v>2028</v>
      </c>
      <c r="B25" s="4" t="n">
        <v>38</v>
      </c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3" t="n">
        <v>2030</v>
      </c>
      <c r="B26" s="3" t="n">
        <v>40</v>
      </c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4" t="n">
        <v>2032</v>
      </c>
      <c r="B27" s="4" t="n">
        <v>42</v>
      </c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3" t="n">
        <v>2034</v>
      </c>
      <c r="B28" s="3" t="n">
        <v>44</v>
      </c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4" t="n">
        <v>2036</v>
      </c>
      <c r="B29" s="4" t="n">
        <v>46</v>
      </c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3" t="n">
        <v>2038</v>
      </c>
      <c r="B30" s="3" t="n">
        <v>48</v>
      </c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4" t="n">
        <v>2040</v>
      </c>
      <c r="B31" s="4" t="n">
        <v>50</v>
      </c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3" t="n">
        <v>2042</v>
      </c>
      <c r="B32" s="3" t="n">
        <v>52</v>
      </c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4" t="n">
        <v>2044</v>
      </c>
      <c r="B33" s="4" t="n">
        <v>54</v>
      </c>
      <c r="C33" s="4"/>
      <c r="D33" s="4"/>
      <c r="E33" s="4"/>
      <c r="F33" s="4"/>
      <c r="G33" s="4"/>
      <c r="H33" s="4"/>
      <c r="I33" s="4"/>
    </row>
    <row r="34" customFormat="false" ht="15" hidden="false" customHeight="false" outlineLevel="0" collapsed="false">
      <c r="A34" s="3" t="n">
        <v>2046</v>
      </c>
      <c r="B34" s="3" t="n">
        <v>56</v>
      </c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4" t="n">
        <v>2048</v>
      </c>
      <c r="B35" s="4" t="n">
        <v>58</v>
      </c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3" t="n">
        <v>2050</v>
      </c>
      <c r="B36" s="3" t="n">
        <v>60</v>
      </c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A37" s="4" t="n">
        <v>2052</v>
      </c>
      <c r="B37" s="4" t="n">
        <v>62</v>
      </c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3" t="n">
        <v>2054</v>
      </c>
      <c r="B38" s="3" t="n">
        <v>64</v>
      </c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4" t="n">
        <v>2056</v>
      </c>
      <c r="B39" s="4" t="n">
        <v>66</v>
      </c>
      <c r="C39" s="4"/>
      <c r="D39" s="4"/>
      <c r="E39" s="4"/>
      <c r="F39" s="4"/>
      <c r="G39" s="4"/>
      <c r="H39" s="4"/>
      <c r="I39" s="4"/>
    </row>
  </sheetData>
  <mergeCells count="4">
    <mergeCell ref="A1:I1"/>
    <mergeCell ref="A3:I3"/>
    <mergeCell ref="A15:I15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9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7" min="2" style="0" width="22"/>
  </cols>
  <sheetData>
    <row r="1" customFormat="false" ht="17.35" hidden="false" customHeight="true" outlineLevel="0" collapsed="false">
      <c r="A1" s="1" t="s">
        <v>286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2" t="s">
        <v>287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5" t="s">
        <v>226</v>
      </c>
      <c r="B5" s="5" t="s">
        <v>288</v>
      </c>
      <c r="C5" s="5" t="s">
        <v>88</v>
      </c>
      <c r="D5" s="5" t="s">
        <v>289</v>
      </c>
    </row>
    <row r="6" customFormat="false" ht="79.5" hidden="false" customHeight="true" outlineLevel="0" collapsed="false">
      <c r="A6" s="3" t="s">
        <v>290</v>
      </c>
      <c r="B6" s="19" t="s">
        <v>291</v>
      </c>
      <c r="C6" s="3" t="s">
        <v>292</v>
      </c>
      <c r="D6" s="3" t="s">
        <v>293</v>
      </c>
      <c r="E6" s="3"/>
      <c r="F6" s="3"/>
      <c r="G6" s="3"/>
    </row>
    <row r="7" customFormat="false" ht="79.5" hidden="false" customHeight="true" outlineLevel="0" collapsed="false">
      <c r="A7" s="4" t="s">
        <v>294</v>
      </c>
      <c r="B7" s="20" t="s">
        <v>295</v>
      </c>
      <c r="C7" s="4" t="s">
        <v>296</v>
      </c>
      <c r="D7" s="4" t="s">
        <v>297</v>
      </c>
      <c r="E7" s="4"/>
      <c r="F7" s="4"/>
      <c r="G7" s="4"/>
    </row>
    <row r="8" customFormat="false" ht="79.5" hidden="false" customHeight="true" outlineLevel="0" collapsed="false">
      <c r="A8" s="3" t="s">
        <v>298</v>
      </c>
      <c r="B8" s="19" t="s">
        <v>299</v>
      </c>
      <c r="C8" s="3" t="s">
        <v>300</v>
      </c>
      <c r="D8" s="3" t="s">
        <v>301</v>
      </c>
      <c r="E8" s="3"/>
      <c r="F8" s="3"/>
      <c r="G8" s="3"/>
    </row>
    <row r="9" customFormat="false" ht="79.5" hidden="false" customHeight="true" outlineLevel="0" collapsed="false">
      <c r="A9" s="4" t="s">
        <v>302</v>
      </c>
      <c r="B9" s="20" t="s">
        <v>303</v>
      </c>
      <c r="C9" s="4" t="s">
        <v>304</v>
      </c>
      <c r="D9" s="4" t="s">
        <v>305</v>
      </c>
      <c r="E9" s="4"/>
      <c r="F9" s="4"/>
      <c r="G9" s="4"/>
    </row>
    <row r="10" customFormat="false" ht="79.5" hidden="false" customHeight="true" outlineLevel="0" collapsed="false">
      <c r="A10" s="3" t="s">
        <v>306</v>
      </c>
      <c r="B10" s="19" t="s">
        <v>307</v>
      </c>
      <c r="C10" s="3" t="s">
        <v>308</v>
      </c>
      <c r="D10" s="3" t="s">
        <v>309</v>
      </c>
      <c r="E10" s="3"/>
      <c r="F10" s="3"/>
      <c r="G10" s="3"/>
    </row>
    <row r="13" customFormat="false" ht="15" hidden="false" customHeight="true" outlineLevel="0" collapsed="false">
      <c r="A13" s="2" t="s">
        <v>310</v>
      </c>
      <c r="B13" s="2"/>
      <c r="C13" s="2"/>
      <c r="D13" s="2"/>
      <c r="E13" s="2"/>
      <c r="F13" s="2"/>
      <c r="G13" s="2"/>
    </row>
    <row r="15" customFormat="false" ht="26.85" hidden="false" customHeight="false" outlineLevel="0" collapsed="false">
      <c r="A15" s="5" t="s">
        <v>311</v>
      </c>
      <c r="B15" s="5" t="s">
        <v>312</v>
      </c>
      <c r="C15" s="5" t="s">
        <v>313</v>
      </c>
      <c r="D15" s="5" t="s">
        <v>314</v>
      </c>
      <c r="E15" s="5" t="s">
        <v>315</v>
      </c>
      <c r="F15" s="5" t="s">
        <v>316</v>
      </c>
      <c r="G15" s="5" t="s">
        <v>317</v>
      </c>
    </row>
    <row r="16" customFormat="false" ht="34.5" hidden="false" customHeight="true" outlineLevel="0" collapsed="false">
      <c r="A16" s="3" t="s">
        <v>235</v>
      </c>
      <c r="B16" s="3" t="s">
        <v>318</v>
      </c>
      <c r="C16" s="3" t="s">
        <v>319</v>
      </c>
      <c r="D16" s="3" t="s">
        <v>320</v>
      </c>
      <c r="E16" s="3" t="s">
        <v>321</v>
      </c>
      <c r="F16" s="3" t="s">
        <v>322</v>
      </c>
      <c r="G16" s="3" t="s">
        <v>323</v>
      </c>
    </row>
    <row r="17" customFormat="false" ht="34.5" hidden="false" customHeight="true" outlineLevel="0" collapsed="false">
      <c r="A17" s="4" t="s">
        <v>241</v>
      </c>
      <c r="B17" s="4" t="s">
        <v>324</v>
      </c>
      <c r="C17" s="4" t="s">
        <v>325</v>
      </c>
      <c r="D17" s="4" t="s">
        <v>326</v>
      </c>
      <c r="E17" s="4" t="s">
        <v>327</v>
      </c>
      <c r="F17" s="4" t="s">
        <v>328</v>
      </c>
      <c r="G17" s="4" t="s">
        <v>329</v>
      </c>
    </row>
    <row r="18" customFormat="false" ht="34.5" hidden="false" customHeight="true" outlineLevel="0" collapsed="false">
      <c r="A18" s="3" t="s">
        <v>246</v>
      </c>
      <c r="B18" s="3" t="s">
        <v>330</v>
      </c>
      <c r="C18" s="3" t="s">
        <v>331</v>
      </c>
      <c r="D18" s="3" t="s">
        <v>332</v>
      </c>
      <c r="E18" s="3" t="s">
        <v>333</v>
      </c>
      <c r="F18" s="3" t="s">
        <v>328</v>
      </c>
      <c r="G18" s="3" t="s">
        <v>334</v>
      </c>
    </row>
    <row r="19" customFormat="false" ht="34.5" hidden="false" customHeight="true" outlineLevel="0" collapsed="false">
      <c r="A19" s="4" t="s">
        <v>251</v>
      </c>
      <c r="B19" s="4" t="s">
        <v>335</v>
      </c>
      <c r="C19" s="4" t="s">
        <v>336</v>
      </c>
      <c r="D19" s="4" t="s">
        <v>337</v>
      </c>
      <c r="E19" s="4" t="s">
        <v>338</v>
      </c>
      <c r="F19" s="4" t="s">
        <v>328</v>
      </c>
      <c r="G19" s="4" t="s">
        <v>339</v>
      </c>
    </row>
    <row r="20" customFormat="false" ht="34.5" hidden="false" customHeight="true" outlineLevel="0" collapsed="false">
      <c r="A20" s="3" t="s">
        <v>256</v>
      </c>
      <c r="B20" s="3" t="s">
        <v>340</v>
      </c>
      <c r="C20" s="3" t="s">
        <v>341</v>
      </c>
      <c r="D20" s="3" t="s">
        <v>342</v>
      </c>
      <c r="E20" s="3" t="s">
        <v>343</v>
      </c>
      <c r="F20" s="3" t="s">
        <v>328</v>
      </c>
      <c r="G20" s="3" t="s">
        <v>344</v>
      </c>
    </row>
    <row r="21" customFormat="false" ht="34.5" hidden="false" customHeight="true" outlineLevel="0" collapsed="false">
      <c r="A21" s="4" t="s">
        <v>261</v>
      </c>
      <c r="B21" s="4" t="s">
        <v>345</v>
      </c>
      <c r="C21" s="4" t="s">
        <v>346</v>
      </c>
      <c r="D21" s="4" t="s">
        <v>347</v>
      </c>
      <c r="E21" s="4" t="s">
        <v>348</v>
      </c>
      <c r="F21" s="4" t="s">
        <v>322</v>
      </c>
      <c r="G21" s="4" t="s">
        <v>349</v>
      </c>
    </row>
    <row r="22" customFormat="false" ht="34.5" hidden="false" customHeight="true" outlineLevel="0" collapsed="false">
      <c r="A22" s="3" t="s">
        <v>267</v>
      </c>
      <c r="B22" s="3" t="s">
        <v>350</v>
      </c>
      <c r="C22" s="3" t="s">
        <v>351</v>
      </c>
      <c r="D22" s="3" t="s">
        <v>352</v>
      </c>
      <c r="E22" s="3" t="s">
        <v>353</v>
      </c>
      <c r="F22" s="3" t="s">
        <v>322</v>
      </c>
      <c r="G22" s="3" t="s">
        <v>354</v>
      </c>
    </row>
    <row r="23" customFormat="false" ht="34.5" hidden="false" customHeight="true" outlineLevel="0" collapsed="false">
      <c r="A23" s="4" t="s">
        <v>355</v>
      </c>
      <c r="B23" s="4" t="s">
        <v>356</v>
      </c>
      <c r="C23" s="4" t="s">
        <v>357</v>
      </c>
      <c r="D23" s="4" t="s">
        <v>358</v>
      </c>
      <c r="E23" s="4" t="s">
        <v>359</v>
      </c>
      <c r="F23" s="4" t="s">
        <v>360</v>
      </c>
      <c r="G23" s="4" t="s">
        <v>361</v>
      </c>
    </row>
    <row r="24" customFormat="false" ht="34.5" hidden="false" customHeight="true" outlineLevel="0" collapsed="false">
      <c r="A24" s="3" t="s">
        <v>362</v>
      </c>
      <c r="B24" s="3" t="s">
        <v>363</v>
      </c>
      <c r="C24" s="3" t="s">
        <v>364</v>
      </c>
      <c r="D24" s="3" t="s">
        <v>365</v>
      </c>
      <c r="E24" s="3" t="s">
        <v>366</v>
      </c>
      <c r="F24" s="3" t="s">
        <v>322</v>
      </c>
      <c r="G24" s="3" t="s">
        <v>367</v>
      </c>
    </row>
    <row r="25" customFormat="false" ht="34.5" hidden="false" customHeight="true" outlineLevel="0" collapsed="false">
      <c r="A25" s="4" t="s">
        <v>368</v>
      </c>
      <c r="B25" s="4" t="s">
        <v>369</v>
      </c>
      <c r="C25" s="4" t="s">
        <v>370</v>
      </c>
      <c r="D25" s="4" t="s">
        <v>371</v>
      </c>
      <c r="E25" s="4" t="s">
        <v>372</v>
      </c>
      <c r="F25" s="4" t="s">
        <v>322</v>
      </c>
      <c r="G25" s="4" t="s">
        <v>373</v>
      </c>
    </row>
  </sheetData>
  <mergeCells count="3">
    <mergeCell ref="A1:G1"/>
    <mergeCell ref="A3:G3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A888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4" min="4" style="0" width="28"/>
    <col collapsed="false" customWidth="true" hidden="false" outlineLevel="0" max="8" min="5" style="0" width="20"/>
  </cols>
  <sheetData>
    <row r="1" customFormat="false" ht="17.35" hidden="false" customHeight="true" outlineLevel="0" collapsed="false">
      <c r="A1" s="1" t="s">
        <v>374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375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5" t="s">
        <v>376</v>
      </c>
      <c r="B5" s="5" t="s">
        <v>377</v>
      </c>
      <c r="C5" s="5" t="s">
        <v>378</v>
      </c>
      <c r="D5" s="5" t="s">
        <v>379</v>
      </c>
      <c r="E5" s="5" t="s">
        <v>380</v>
      </c>
      <c r="F5" s="5" t="s">
        <v>381</v>
      </c>
      <c r="G5" s="5" t="s">
        <v>382</v>
      </c>
      <c r="H5" s="5" t="s">
        <v>285</v>
      </c>
    </row>
    <row r="6" customFormat="false" ht="60" hidden="false" customHeight="true" outlineLevel="0" collapsed="false">
      <c r="A6" s="3" t="s">
        <v>383</v>
      </c>
      <c r="B6" s="3" t="s">
        <v>384</v>
      </c>
      <c r="C6" s="3" t="s">
        <v>385</v>
      </c>
      <c r="D6" s="3" t="s">
        <v>386</v>
      </c>
      <c r="E6" s="3" t="s">
        <v>387</v>
      </c>
      <c r="F6" s="3" t="s">
        <v>388</v>
      </c>
      <c r="G6" s="3" t="s">
        <v>389</v>
      </c>
      <c r="H6" s="3" t="s">
        <v>390</v>
      </c>
    </row>
    <row r="7" customFormat="false" ht="60" hidden="false" customHeight="true" outlineLevel="0" collapsed="false">
      <c r="A7" s="4" t="s">
        <v>391</v>
      </c>
      <c r="B7" s="4" t="s">
        <v>392</v>
      </c>
      <c r="C7" s="4" t="s">
        <v>393</v>
      </c>
      <c r="D7" s="4" t="s">
        <v>394</v>
      </c>
      <c r="E7" s="4" t="s">
        <v>395</v>
      </c>
      <c r="F7" s="4" t="s">
        <v>388</v>
      </c>
      <c r="G7" s="4" t="s">
        <v>184</v>
      </c>
      <c r="H7" s="4" t="s">
        <v>396</v>
      </c>
    </row>
    <row r="8" customFormat="false" ht="60" hidden="false" customHeight="true" outlineLevel="0" collapsed="false">
      <c r="A8" s="3" t="s">
        <v>397</v>
      </c>
      <c r="B8" s="3" t="s">
        <v>398</v>
      </c>
      <c r="C8" s="3" t="s">
        <v>399</v>
      </c>
      <c r="D8" s="3" t="s">
        <v>400</v>
      </c>
      <c r="E8" s="3" t="s">
        <v>387</v>
      </c>
      <c r="F8" s="3" t="s">
        <v>388</v>
      </c>
      <c r="G8" s="3" t="s">
        <v>184</v>
      </c>
      <c r="H8" s="3" t="s">
        <v>401</v>
      </c>
    </row>
    <row r="11" customFormat="false" ht="15" hidden="false" customHeight="true" outlineLevel="0" collapsed="false">
      <c r="A11" s="2" t="s">
        <v>402</v>
      </c>
      <c r="B11" s="2"/>
      <c r="C11" s="2"/>
      <c r="D11" s="2"/>
      <c r="E11" s="2"/>
      <c r="F11" s="2"/>
      <c r="G11" s="2"/>
      <c r="H11" s="2"/>
    </row>
    <row r="13" customFormat="false" ht="15" hidden="false" customHeight="false" outlineLevel="0" collapsed="false">
      <c r="A13" s="5" t="s">
        <v>403</v>
      </c>
      <c r="B13" s="5" t="s">
        <v>404</v>
      </c>
      <c r="C13" s="5" t="s">
        <v>377</v>
      </c>
      <c r="D13" s="5" t="s">
        <v>285</v>
      </c>
    </row>
    <row r="14" customFormat="false" ht="49.5" hidden="false" customHeight="true" outlineLevel="0" collapsed="false">
      <c r="A14" s="3" t="s">
        <v>405</v>
      </c>
      <c r="B14" s="3" t="s">
        <v>406</v>
      </c>
      <c r="C14" s="3" t="s">
        <v>407</v>
      </c>
      <c r="D14" s="3" t="s">
        <v>408</v>
      </c>
      <c r="E14" s="3"/>
      <c r="F14" s="3"/>
      <c r="G14" s="3"/>
      <c r="H14" s="3"/>
    </row>
    <row r="15" customFormat="false" ht="49.5" hidden="false" customHeight="true" outlineLevel="0" collapsed="false">
      <c r="A15" s="4" t="s">
        <v>409</v>
      </c>
      <c r="B15" s="4" t="s">
        <v>410</v>
      </c>
      <c r="C15" s="4" t="s">
        <v>411</v>
      </c>
      <c r="D15" s="4" t="s">
        <v>412</v>
      </c>
      <c r="E15" s="4"/>
      <c r="F15" s="4"/>
      <c r="G15" s="4"/>
      <c r="H15" s="4"/>
    </row>
    <row r="16" customFormat="false" ht="49.5" hidden="false" customHeight="true" outlineLevel="0" collapsed="false">
      <c r="A16" s="3" t="s">
        <v>413</v>
      </c>
      <c r="B16" s="3" t="s">
        <v>414</v>
      </c>
      <c r="C16" s="3" t="s">
        <v>415</v>
      </c>
      <c r="D16" s="3" t="s">
        <v>416</v>
      </c>
      <c r="E16" s="3"/>
      <c r="F16" s="3"/>
      <c r="G16" s="3"/>
      <c r="H16" s="3"/>
    </row>
    <row r="17" customFormat="false" ht="49.5" hidden="false" customHeight="true" outlineLevel="0" collapsed="false">
      <c r="A17" s="4" t="s">
        <v>417</v>
      </c>
      <c r="B17" s="4" t="s">
        <v>418</v>
      </c>
      <c r="C17" s="4" t="s">
        <v>419</v>
      </c>
      <c r="D17" s="4" t="s">
        <v>420</v>
      </c>
      <c r="E17" s="4"/>
      <c r="F17" s="4"/>
      <c r="G17" s="4"/>
      <c r="H17" s="4"/>
    </row>
    <row r="18" customFormat="false" ht="49.5" hidden="false" customHeight="true" outlineLevel="0" collapsed="false">
      <c r="A18" s="3" t="s">
        <v>421</v>
      </c>
      <c r="B18" s="3" t="s">
        <v>422</v>
      </c>
      <c r="C18" s="3" t="s">
        <v>423</v>
      </c>
      <c r="D18" s="3" t="s">
        <v>424</v>
      </c>
      <c r="E18" s="3"/>
      <c r="F18" s="3"/>
      <c r="G18" s="3"/>
      <c r="H18" s="3"/>
    </row>
    <row r="21" customFormat="false" ht="15" hidden="false" customHeight="true" outlineLevel="0" collapsed="false">
      <c r="A21" s="2" t="s">
        <v>425</v>
      </c>
      <c r="B21" s="2"/>
      <c r="C21" s="2"/>
      <c r="D21" s="2"/>
      <c r="E21" s="2"/>
      <c r="F21" s="2"/>
      <c r="G21" s="2"/>
      <c r="H21" s="2"/>
    </row>
    <row r="23" customFormat="false" ht="34.5" hidden="false" customHeight="true" outlineLevel="0" collapsed="false">
      <c r="A23" s="3" t="s">
        <v>426</v>
      </c>
      <c r="B23" s="3" t="s">
        <v>427</v>
      </c>
      <c r="C23" s="3"/>
      <c r="D23" s="3"/>
      <c r="E23" s="3" t="s">
        <v>428</v>
      </c>
      <c r="F23" s="3"/>
      <c r="G23" s="3"/>
      <c r="H23" s="3"/>
    </row>
    <row r="24" customFormat="false" ht="34.5" hidden="false" customHeight="true" outlineLevel="0" collapsed="false">
      <c r="A24" s="4" t="s">
        <v>429</v>
      </c>
      <c r="B24" s="4" t="s">
        <v>430</v>
      </c>
      <c r="C24" s="4"/>
      <c r="D24" s="4"/>
      <c r="E24" s="4" t="s">
        <v>431</v>
      </c>
      <c r="F24" s="4"/>
      <c r="G24" s="4"/>
      <c r="H24" s="4"/>
    </row>
    <row r="25" customFormat="false" ht="34.5" hidden="false" customHeight="true" outlineLevel="0" collapsed="false">
      <c r="A25" s="3" t="s">
        <v>432</v>
      </c>
      <c r="B25" s="3" t="s">
        <v>433</v>
      </c>
      <c r="C25" s="3"/>
      <c r="D25" s="3"/>
      <c r="E25" s="3" t="s">
        <v>434</v>
      </c>
      <c r="F25" s="3"/>
      <c r="G25" s="3"/>
      <c r="H25" s="3"/>
    </row>
  </sheetData>
  <mergeCells count="10">
    <mergeCell ref="A1:H1"/>
    <mergeCell ref="A3:H3"/>
    <mergeCell ref="A11:H11"/>
    <mergeCell ref="A21:H21"/>
    <mergeCell ref="B23:D23"/>
    <mergeCell ref="E23:H23"/>
    <mergeCell ref="B24:D24"/>
    <mergeCell ref="E24:H24"/>
    <mergeCell ref="B25:D25"/>
    <mergeCell ref="E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7817"/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  <col collapsed="false" customWidth="true" hidden="false" outlineLevel="0" max="10" min="9" style="0" width="20"/>
  </cols>
  <sheetData>
    <row r="1" customFormat="false" ht="17.35" hidden="false" customHeight="true" outlineLevel="0" collapsed="false">
      <c r="A1" s="1" t="s">
        <v>435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1" t="s">
        <v>436</v>
      </c>
      <c r="B3" s="21"/>
      <c r="C3" s="21"/>
      <c r="D3" s="21"/>
      <c r="E3" s="21"/>
      <c r="F3" s="21"/>
      <c r="G3" s="21"/>
      <c r="H3" s="21"/>
      <c r="I3" s="21"/>
      <c r="J3" s="21"/>
    </row>
    <row r="5" customFormat="false" ht="26.85" hidden="false" customHeight="false" outlineLevel="0" collapsed="false">
      <c r="A5" s="5" t="s">
        <v>437</v>
      </c>
      <c r="B5" s="5" t="s">
        <v>438</v>
      </c>
      <c r="C5" s="5" t="s">
        <v>439</v>
      </c>
      <c r="D5" s="5" t="s">
        <v>440</v>
      </c>
      <c r="E5" s="5" t="s">
        <v>441</v>
      </c>
      <c r="F5" s="5" t="s">
        <v>442</v>
      </c>
      <c r="G5" s="5" t="s">
        <v>443</v>
      </c>
      <c r="H5" s="5" t="s">
        <v>444</v>
      </c>
      <c r="I5" s="5" t="s">
        <v>445</v>
      </c>
      <c r="J5" s="5" t="s">
        <v>446</v>
      </c>
    </row>
    <row r="6" customFormat="false" ht="15" hidden="false" customHeight="false" outlineLevel="0" collapsed="false">
      <c r="A6" s="4" t="n">
        <v>1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3" t="n">
        <v>2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4" t="n">
        <v>3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3" t="n">
        <v>4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4" t="n">
        <v>5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3" t="n">
        <v>6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4" t="n">
        <v>7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3" t="n">
        <v>8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4" t="n">
        <v>9</v>
      </c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3" t="n">
        <v>10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4" t="n">
        <v>11</v>
      </c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3" t="n">
        <v>12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4" t="n">
        <v>13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3" t="n">
        <v>14</v>
      </c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4" t="n">
        <v>15</v>
      </c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3" t="n">
        <v>16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4" t="n">
        <v>17</v>
      </c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3" t="n">
        <v>18</v>
      </c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false" outlineLevel="0" collapsed="false">
      <c r="A24" s="4" t="n">
        <v>19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3" t="n">
        <v>20</v>
      </c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false" outlineLevel="0" collapsed="false">
      <c r="A26" s="4" t="n">
        <v>21</v>
      </c>
      <c r="B26" s="4"/>
      <c r="C26" s="4"/>
      <c r="D26" s="4"/>
      <c r="E26" s="4"/>
      <c r="F26" s="4"/>
      <c r="G26" s="4"/>
      <c r="H26" s="4"/>
      <c r="I26" s="4"/>
      <c r="J26" s="4"/>
    </row>
    <row r="27" customFormat="false" ht="15" hidden="false" customHeight="false" outlineLevel="0" collapsed="false">
      <c r="A27" s="3" t="n">
        <v>22</v>
      </c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false" outlineLevel="0" collapsed="false">
      <c r="A28" s="4" t="n">
        <v>23</v>
      </c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3" t="n">
        <v>24</v>
      </c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false" outlineLevel="0" collapsed="false">
      <c r="A30" s="4" t="n">
        <v>25</v>
      </c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5" hidden="false" customHeight="false" outlineLevel="0" collapsed="false">
      <c r="A31" s="3" t="n">
        <v>26</v>
      </c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A32" s="4" t="n">
        <v>27</v>
      </c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false" outlineLevel="0" collapsed="false">
      <c r="A33" s="3" t="n">
        <v>28</v>
      </c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false" outlineLevel="0" collapsed="false">
      <c r="A34" s="4" t="n">
        <v>29</v>
      </c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3" t="n">
        <v>30</v>
      </c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false" outlineLevel="0" collapsed="false">
      <c r="A36" s="4" t="n">
        <v>31</v>
      </c>
      <c r="B36" s="4"/>
      <c r="C36" s="4"/>
      <c r="D36" s="4"/>
      <c r="E36" s="4"/>
      <c r="F36" s="4"/>
      <c r="G36" s="4"/>
      <c r="H36" s="4"/>
      <c r="I36" s="4"/>
      <c r="J36" s="4"/>
    </row>
    <row r="38" customFormat="false" ht="15" hidden="false" customHeight="false" outlineLevel="0" collapsed="false">
      <c r="A38" s="22" t="s">
        <v>447</v>
      </c>
      <c r="B38" s="22" t="n">
        <f aca="false">COUNTIF(B6:B36,"✅")</f>
        <v>0</v>
      </c>
      <c r="C38" s="22"/>
      <c r="D38" s="22" t="str">
        <f aca="false">IFERROR(AVERAGE(D6:D36),"")</f>
        <v/>
      </c>
      <c r="E38" s="22" t="str">
        <f aca="false">IFERROR(AVERAGE(E6:E36),"")</f>
        <v/>
      </c>
      <c r="F38" s="22"/>
      <c r="G38" s="22"/>
      <c r="H38" s="22" t="str">
        <f aca="false">IFERROR(AVERAGE(H6:H36),"")</f>
        <v/>
      </c>
      <c r="I38" s="22"/>
      <c r="J38" s="22"/>
    </row>
    <row r="39" customFormat="false" ht="15" hidden="false" customHeight="false" outlineLevel="0" collapsed="false">
      <c r="A39" s="23" t="s">
        <v>448</v>
      </c>
      <c r="B39" s="24" t="s">
        <v>449</v>
      </c>
      <c r="D39" s="24" t="s">
        <v>450</v>
      </c>
      <c r="E39" s="24" t="s">
        <v>451</v>
      </c>
      <c r="H39" s="24" t="s">
        <v>452</v>
      </c>
    </row>
  </sheetData>
  <mergeCells count="2">
    <mergeCell ref="A1:J1"/>
    <mergeCell ref="A3:J3"/>
  </mergeCells>
  <dataValidations count="2">
    <dataValidation allowBlank="false" errorStyle="stop" operator="between" showDropDown="false" showErrorMessage="false" showInputMessage="false" sqref="B6:B36 F6:G36" type="list">
      <formula1>"✅,❌"</formula1>
      <formula2>0</formula2>
    </dataValidation>
    <dataValidation allowBlank="false" errorStyle="stop" operator="between" showDropDown="false" showErrorMessage="false" showInputMessage="false" sqref="C6:C36" type="list">
      <formula1>"💪 Strength,🚶 Đi bộ,🔥 VO2Max,🧘 Yoga,🏊 Bơi,⚽ Thể thao,🌿 Nghỉ,—"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7.35" hidden="false" customHeight="true" outlineLevel="0" collapsed="false">
      <c r="A1" s="1" t="s">
        <v>453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2" t="s">
        <v>454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5" t="s">
        <v>288</v>
      </c>
      <c r="B5" s="5" t="s">
        <v>455</v>
      </c>
      <c r="C5" s="5" t="s">
        <v>379</v>
      </c>
      <c r="D5" s="5" t="s">
        <v>456</v>
      </c>
      <c r="E5" s="5" t="s">
        <v>457</v>
      </c>
    </row>
    <row r="6" customFormat="false" ht="69.75" hidden="false" customHeight="true" outlineLevel="0" collapsed="false">
      <c r="A6" s="3" t="s">
        <v>458</v>
      </c>
      <c r="B6" s="3" t="s">
        <v>459</v>
      </c>
      <c r="C6" s="3" t="s">
        <v>460</v>
      </c>
      <c r="D6" s="3" t="s">
        <v>461</v>
      </c>
      <c r="E6" s="3" t="s">
        <v>462</v>
      </c>
      <c r="F6" s="3"/>
      <c r="G6" s="3"/>
    </row>
    <row r="7" customFormat="false" ht="69.75" hidden="false" customHeight="true" outlineLevel="0" collapsed="false">
      <c r="A7" s="4" t="s">
        <v>463</v>
      </c>
      <c r="B7" s="4" t="s">
        <v>464</v>
      </c>
      <c r="C7" s="4" t="s">
        <v>465</v>
      </c>
      <c r="D7" s="4" t="s">
        <v>466</v>
      </c>
      <c r="E7" s="4" t="s">
        <v>462</v>
      </c>
      <c r="F7" s="4"/>
      <c r="G7" s="4"/>
    </row>
    <row r="8" customFormat="false" ht="69.75" hidden="false" customHeight="true" outlineLevel="0" collapsed="false">
      <c r="A8" s="3" t="s">
        <v>467</v>
      </c>
      <c r="B8" s="3" t="s">
        <v>468</v>
      </c>
      <c r="C8" s="3" t="s">
        <v>469</v>
      </c>
      <c r="D8" s="3" t="s">
        <v>470</v>
      </c>
      <c r="E8" s="3" t="s">
        <v>471</v>
      </c>
      <c r="F8" s="3"/>
      <c r="G8" s="3"/>
    </row>
    <row r="9" customFormat="false" ht="69.75" hidden="false" customHeight="true" outlineLevel="0" collapsed="false">
      <c r="A9" s="4" t="s">
        <v>472</v>
      </c>
      <c r="B9" s="4" t="s">
        <v>473</v>
      </c>
      <c r="C9" s="4" t="s">
        <v>474</v>
      </c>
      <c r="D9" s="4" t="s">
        <v>475</v>
      </c>
      <c r="E9" s="4" t="s">
        <v>476</v>
      </c>
      <c r="F9" s="4"/>
      <c r="G9" s="4"/>
    </row>
    <row r="10" customFormat="false" ht="69.75" hidden="false" customHeight="true" outlineLevel="0" collapsed="false">
      <c r="A10" s="3" t="s">
        <v>477</v>
      </c>
      <c r="B10" s="3" t="s">
        <v>478</v>
      </c>
      <c r="C10" s="3" t="s">
        <v>479</v>
      </c>
      <c r="D10" s="3" t="s">
        <v>480</v>
      </c>
      <c r="E10" s="3" t="s">
        <v>476</v>
      </c>
      <c r="F10" s="3"/>
      <c r="G10" s="3"/>
    </row>
    <row r="13" customFormat="false" ht="15" hidden="false" customHeight="true" outlineLevel="0" collapsed="false">
      <c r="A13" s="2" t="s">
        <v>481</v>
      </c>
      <c r="B13" s="2"/>
      <c r="C13" s="2"/>
      <c r="D13" s="2"/>
      <c r="E13" s="2"/>
      <c r="F13" s="2"/>
      <c r="G13" s="2"/>
    </row>
    <row r="15" customFormat="false" ht="15" hidden="false" customHeight="false" outlineLevel="0" collapsed="false">
      <c r="A15" s="5" t="s">
        <v>482</v>
      </c>
      <c r="B15" s="5" t="s">
        <v>483</v>
      </c>
      <c r="C15" s="5" t="s">
        <v>484</v>
      </c>
      <c r="D15" s="5" t="s">
        <v>485</v>
      </c>
      <c r="E15" s="5" t="s">
        <v>18</v>
      </c>
    </row>
    <row r="16" customFormat="false" ht="69.75" hidden="false" customHeight="true" outlineLevel="0" collapsed="false">
      <c r="A16" s="3" t="s">
        <v>486</v>
      </c>
      <c r="B16" s="3" t="s">
        <v>487</v>
      </c>
      <c r="C16" s="3" t="s">
        <v>488</v>
      </c>
      <c r="D16" s="3" t="s">
        <v>489</v>
      </c>
      <c r="E16" s="3" t="s">
        <v>490</v>
      </c>
      <c r="F16" s="3"/>
      <c r="G16" s="3"/>
    </row>
    <row r="17" customFormat="false" ht="69.75" hidden="false" customHeight="true" outlineLevel="0" collapsed="false">
      <c r="A17" s="4" t="s">
        <v>491</v>
      </c>
      <c r="B17" s="4" t="s">
        <v>492</v>
      </c>
      <c r="C17" s="4" t="s">
        <v>493</v>
      </c>
      <c r="D17" s="4" t="s">
        <v>494</v>
      </c>
      <c r="E17" s="4" t="s">
        <v>495</v>
      </c>
      <c r="F17" s="4"/>
      <c r="G17" s="4"/>
    </row>
    <row r="18" customFormat="false" ht="69.75" hidden="false" customHeight="true" outlineLevel="0" collapsed="false">
      <c r="A18" s="3" t="s">
        <v>496</v>
      </c>
      <c r="B18" s="3" t="s">
        <v>497</v>
      </c>
      <c r="C18" s="3" t="s">
        <v>498</v>
      </c>
      <c r="D18" s="3" t="s">
        <v>499</v>
      </c>
      <c r="E18" s="3" t="s">
        <v>500</v>
      </c>
      <c r="F18" s="3"/>
      <c r="G18" s="3"/>
    </row>
  </sheetData>
  <mergeCells count="3">
    <mergeCell ref="A1:G1"/>
    <mergeCell ref="A3:G3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2026-02-16T12:31:13Z</dcterms:created>
  <dc:creator>openpyxl</dc:creator>
  <dc:description/>
  <dc:language>en-US</dc:language>
  <cp:lastModifiedBy/>
  <dcterms:modified xsi:type="dcterms:W3CDTF">2026-02-16T12:31:13Z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